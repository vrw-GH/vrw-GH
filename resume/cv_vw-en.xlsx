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fileSharing userName="Victor Wright" algorithmName="SHA-512" hashValue="Qzb9QebnyT+CC5e3UmFTNi5ioCd2z4edE4sczacnR7/RIw2QIZpAU8P3r1OKWvyeUtTO/KfiL3rGghUwkORHQg==" saltValue="lz3yPZytzd0BXdnswpPTrg==" spinCount="100000"/>
  <workbookPr backupFile="1"/>
  <mc:AlternateContent xmlns:mc="http://schemas.openxmlformats.org/markup-compatibility/2006">
    <mc:Choice Requires="x15">
      <x15ac:absPath xmlns:x15ac="http://schemas.microsoft.com/office/spreadsheetml/2010/11/ac" url="https://d.docs.live.net/a75efed105bec8b5/_BriefCase2/Private/JobSearch/resume/"/>
    </mc:Choice>
  </mc:AlternateContent>
  <xr:revisionPtr revIDLastSave="0" documentId="14_{8AD7145D-AC2F-4F20-9648-9D52B5056841}" xr6:coauthVersionLast="47" xr6:coauthVersionMax="47" xr10:uidLastSave="{00000000-0000-0000-0000-000000000000}"/>
  <bookViews>
    <workbookView xWindow="555" yWindow="4365" windowWidth="21600" windowHeight="11835" firstSheet="11" activeTab="12" xr2:uid="{00000000-000D-0000-FFFF-FFFF00000000}"/>
  </bookViews>
  <sheets>
    <sheet name="From Word" sheetId="1" r:id="rId1"/>
    <sheet name="06.22" sheetId="2" r:id="rId2"/>
    <sheet name="07.22" sheetId="3" r:id="rId3"/>
    <sheet name="10.22" sheetId="4" r:id="rId4"/>
    <sheet name="11.22" sheetId="5" r:id="rId5"/>
    <sheet name="05.23" sheetId="6" r:id="rId6"/>
    <sheet name="07.23" sheetId="7" r:id="rId7"/>
    <sheet name="11.23" sheetId="8" r:id="rId8"/>
    <sheet name="12.23" sheetId="9" r:id="rId9"/>
    <sheet name="03.24" sheetId="10" r:id="rId10"/>
    <sheet name="04.24" sheetId="11" r:id="rId11"/>
    <sheet name="07.24" sheetId="12" r:id="rId12"/>
    <sheet name="04.25" sheetId="13" r:id="rId13"/>
  </sheets>
  <definedNames>
    <definedName name="_xlnm.Print_Area" localSheetId="9">'03.24'!$A$1:$L$57</definedName>
    <definedName name="_xlnm.Print_Area" localSheetId="10">'04.24'!$A$1:$L$60</definedName>
    <definedName name="_xlnm.Print_Area" localSheetId="12">'04.25'!$A$1:$L$54,'04.25'!$O$1:$Y$54</definedName>
    <definedName name="_xlnm.Print_Area" localSheetId="5">'05.23'!$A$1:$O$60</definedName>
    <definedName name="_xlnm.Print_Area" localSheetId="1">'06.22'!$A$1:$O$115</definedName>
    <definedName name="_xlnm.Print_Area" localSheetId="2">'07.22'!$A$1:$O$60</definedName>
    <definedName name="_xlnm.Print_Area" localSheetId="6">'07.23'!$A$1:$L$57</definedName>
    <definedName name="_xlnm.Print_Area" localSheetId="11">'07.24'!$A$1:$L$54</definedName>
    <definedName name="_xlnm.Print_Area" localSheetId="3">'10.22'!$A$1:$O$60</definedName>
    <definedName name="_xlnm.Print_Area" localSheetId="4">'11.22'!$A$1:$O$60</definedName>
    <definedName name="_xlnm.Print_Area" localSheetId="7">'11.23'!$A$1:$L$57</definedName>
    <definedName name="_xlnm.Print_Area" localSheetId="8">'12.23'!$A$1:$L$57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13" l="1"/>
  <c r="W7" i="13"/>
  <c r="C53" i="13" s="1"/>
  <c r="Q7" i="13"/>
  <c r="Q15" i="13"/>
  <c r="Q10" i="13"/>
  <c r="Q9" i="13"/>
  <c r="Q8" i="13"/>
  <c r="T4" i="13"/>
  <c r="T3" i="13"/>
  <c r="C53" i="12"/>
  <c r="K59" i="11"/>
  <c r="K56" i="10"/>
  <c r="L57" i="9"/>
  <c r="L57" i="8"/>
  <c r="L56" i="7"/>
  <c r="B58" i="6"/>
  <c r="B58" i="5"/>
  <c r="B58" i="4"/>
  <c r="B58" i="3"/>
  <c r="H114" i="2"/>
  <c r="B94" i="1"/>
  <c r="V51" i="13" l="1"/>
</calcChain>
</file>

<file path=xl/sharedStrings.xml><?xml version="1.0" encoding="utf-8"?>
<sst xmlns="http://schemas.openxmlformats.org/spreadsheetml/2006/main" count="1350" uniqueCount="537">
  <si>
    <t>Victor Randolph Wright</t>
  </si>
  <si>
    <t>Full Stack Developer</t>
  </si>
  <si>
    <t xml:space="preserve"> http://vrw-gh.github.io/vrw-GH</t>
  </si>
  <si>
    <t>+49 176 4677 4278</t>
  </si>
  <si>
    <r>
      <t xml:space="preserve"> </t>
    </r>
    <r>
      <rPr>
        <sz val="10"/>
        <color theme="1"/>
        <rFont val="Arial"/>
        <family val="2"/>
      </rPr>
      <t>www.linkedin.com/in/victor-r-wright</t>
    </r>
  </si>
  <si>
    <t xml:space="preserve"> victor.wright@outlook.de</t>
  </si>
  <si>
    <t>Semmelbergstr 14, Bad Wiessee 83707, Germany.</t>
  </si>
  <si>
    <t>I am a Full Stack App and Web Developer, and I like to work with care, persistence, and forethought in:</t>
  </si>
  <si>
    <r>
      <t>ü</t>
    </r>
    <r>
      <rPr>
        <sz val="7"/>
        <color theme="1"/>
        <rFont val="Times New Roman"/>
        <family val="1"/>
      </rPr>
      <t xml:space="preserve"> </t>
    </r>
    <r>
      <rPr>
        <sz val="10"/>
        <color theme="1"/>
        <rFont val="Arial"/>
        <family val="2"/>
      </rPr>
      <t>Creating Single-Page Apps (SPA) or server-side web pages / Multi-Page Apps (MPA),</t>
    </r>
  </si>
  <si>
    <r>
      <t>ü</t>
    </r>
    <r>
      <rPr>
        <sz val="7"/>
        <color theme="1"/>
        <rFont val="Times New Roman"/>
        <family val="1"/>
      </rPr>
      <t xml:space="preserve"> </t>
    </r>
    <r>
      <rPr>
        <sz val="10"/>
        <color theme="1"/>
        <rFont val="Arial"/>
        <family val="2"/>
      </rPr>
      <t>Working with Relational Databases,</t>
    </r>
  </si>
  <si>
    <r>
      <t>ü</t>
    </r>
    <r>
      <rPr>
        <sz val="7"/>
        <color theme="1"/>
        <rFont val="Times New Roman"/>
        <family val="1"/>
      </rPr>
      <t xml:space="preserve"> </t>
    </r>
    <r>
      <rPr>
        <sz val="10"/>
        <color theme="1"/>
        <rFont val="Arial"/>
        <family val="2"/>
      </rPr>
      <t>Building RESTful API's etc.</t>
    </r>
  </si>
  <si>
    <t>My extensive expertise over 20years in an IT background, encompasses systems analysis and design, software and website development, setup and administration of networks, installation and troubleshooting hardware and software etc. Because of my long management experience, I possess strong corporate and customer-service skills.</t>
  </si>
  <si>
    <t>TECH STACK</t>
  </si>
  <si>
    <t>SKILLS</t>
  </si>
  <si>
    <t>Front-End</t>
  </si>
  <si>
    <t>Computer / IT</t>
  </si>
  <si>
    <t>HTML5 / CSS3 / Bootstrap</t>
  </si>
  <si>
    <t>●●●●●●●···</t>
  </si>
  <si>
    <t>MS Windows</t>
  </si>
  <si>
    <t>●●●●●●●●●·</t>
  </si>
  <si>
    <t>JavaScript- ES6 (REACT)</t>
  </si>
  <si>
    <t>MS Excel</t>
  </si>
  <si>
    <t>●●●●●●●●●●</t>
  </si>
  <si>
    <t>TypeScript</t>
  </si>
  <si>
    <t>●·········</t>
  </si>
  <si>
    <t>MS Word</t>
  </si>
  <si>
    <t>Back-End</t>
  </si>
  <si>
    <t>CorelDraw</t>
  </si>
  <si>
    <t>Adobe Photoshop</t>
  </si>
  <si>
    <t>●●●●······</t>
  </si>
  <si>
    <t>Node.JS (Express)</t>
  </si>
  <si>
    <t>Visual FoxPro &amp; DB tables</t>
  </si>
  <si>
    <t>●●●●●●●●··</t>
  </si>
  <si>
    <t>RESTful API’s</t>
  </si>
  <si>
    <t>●●●●●●····</t>
  </si>
  <si>
    <t>Figma</t>
  </si>
  <si>
    <t>PHP</t>
  </si>
  <si>
    <t>●●●·······</t>
  </si>
  <si>
    <t>UI / UX basics</t>
  </si>
  <si>
    <t>●●········</t>
  </si>
  <si>
    <t>Apache Server</t>
  </si>
  <si>
    <t>Jira / Trello</t>
  </si>
  <si>
    <t>Databases</t>
  </si>
  <si>
    <t>Scrum</t>
  </si>
  <si>
    <t>Networking and Internet</t>
  </si>
  <si>
    <t>SQL (MySQL / PostgreSQL)</t>
  </si>
  <si>
    <t>●●●●●·····</t>
  </si>
  <si>
    <t>NoSQL (Mongoose)</t>
  </si>
  <si>
    <t>Web Hosting / Email Services</t>
  </si>
  <si>
    <t>Version Control</t>
  </si>
  <si>
    <t>LAN / WAN / Wi-Fi</t>
  </si>
  <si>
    <t>Hardware / Network</t>
  </si>
  <si>
    <t>Git (GitHub)</t>
  </si>
  <si>
    <t>Soft Skills</t>
  </si>
  <si>
    <t>Continuous Integration &amp; Delivery</t>
  </si>
  <si>
    <t>Communication</t>
  </si>
  <si>
    <t>Vercel / Heroku</t>
  </si>
  <si>
    <t>Collaboration &amp; Teamwork</t>
  </si>
  <si>
    <t>Authentication</t>
  </si>
  <si>
    <t>Comprehension</t>
  </si>
  <si>
    <t>Independent work</t>
  </si>
  <si>
    <t>Jason Web Token</t>
  </si>
  <si>
    <t>Creativity</t>
  </si>
  <si>
    <t>Content Management Systems</t>
  </si>
  <si>
    <t>Flexibility</t>
  </si>
  <si>
    <t>Attention to detail</t>
  </si>
  <si>
    <t>Headless CMS (Contentful)</t>
  </si>
  <si>
    <t>Problem-solving</t>
  </si>
  <si>
    <t>WordPress</t>
  </si>
  <si>
    <t>Service-oriented</t>
  </si>
  <si>
    <t>QUALIFICATIONS</t>
  </si>
  <si>
    <t>Full-Stack Web &amp; App Development</t>
  </si>
  <si>
    <t>A project based, practice oriented, collaborative coding training as a full-time remote bootcamp (600hrs).</t>
  </si>
  <si>
    <t>Final Project: “Share My Food” using the P.E.R.N. Stack.</t>
  </si>
  <si>
    <r>
      <t xml:space="preserve">WBS Coding School - </t>
    </r>
    <r>
      <rPr>
        <i/>
        <sz val="9"/>
        <color theme="1"/>
        <rFont val="Arial"/>
        <family val="2"/>
      </rPr>
      <t>Berlin, Germany</t>
    </r>
    <r>
      <rPr>
        <sz val="9"/>
        <color theme="1"/>
        <rFont val="Arial"/>
        <family val="2"/>
      </rPr>
      <t>.</t>
    </r>
  </si>
  <si>
    <t>Sep.2021 – Jan.2022</t>
  </si>
  <si>
    <t>http://vrw-gh.github.io/final-project-wd020</t>
  </si>
  <si>
    <t>A comprehensive, full-time course (12 months) covering Systems Analysis and Design - with over 180hrs practical work on PCs and Mainframes.</t>
  </si>
  <si>
    <t>Diploma in Information Technology</t>
  </si>
  <si>
    <t>Final Project: “Design of IT System for Leasing Operations”</t>
  </si>
  <si>
    <r>
      <t xml:space="preserve">EDP Services (Pvt) Ltd. </t>
    </r>
    <r>
      <rPr>
        <b/>
        <i/>
        <sz val="9"/>
        <color theme="1"/>
        <rFont val="Arial"/>
        <family val="2"/>
      </rPr>
      <t xml:space="preserve">- </t>
    </r>
    <r>
      <rPr>
        <i/>
        <sz val="9"/>
        <color theme="1"/>
        <rFont val="Arial"/>
        <family val="2"/>
      </rPr>
      <t>Sri Lanka</t>
    </r>
    <r>
      <rPr>
        <sz val="9"/>
        <color theme="1"/>
        <rFont val="Arial"/>
        <family val="2"/>
      </rPr>
      <t>.</t>
    </r>
  </si>
  <si>
    <t>May.1990 -May.1991</t>
  </si>
  <si>
    <t>Commercial Leasing Company - Sri Lanka</t>
  </si>
  <si>
    <t>LANGUAGES</t>
  </si>
  <si>
    <t>INTERESTS</t>
  </si>
  <si>
    <r>
      <t>·</t>
    </r>
    <r>
      <rPr>
        <sz val="7"/>
        <color theme="1"/>
        <rFont val="Times New Roman"/>
        <family val="1"/>
      </rPr>
      <t xml:space="preserve">      </t>
    </r>
    <r>
      <rPr>
        <sz val="10"/>
        <color theme="1"/>
        <rFont val="Arial"/>
        <family val="2"/>
      </rPr>
      <t xml:space="preserve">(EN) English  - </t>
    </r>
    <r>
      <rPr>
        <i/>
        <sz val="10"/>
        <color theme="1"/>
        <rFont val="Arial"/>
        <family val="2"/>
      </rPr>
      <t>Native</t>
    </r>
  </si>
  <si>
    <r>
      <t>·</t>
    </r>
    <r>
      <rPr>
        <sz val="7"/>
        <color theme="1"/>
        <rFont val="Times New Roman"/>
        <family val="1"/>
      </rPr>
      <t xml:space="preserve">       </t>
    </r>
    <r>
      <rPr>
        <sz val="10"/>
        <color theme="1"/>
        <rFont val="Arial"/>
        <family val="2"/>
      </rPr>
      <t>The future in a digital context</t>
    </r>
  </si>
  <si>
    <r>
      <t>·</t>
    </r>
    <r>
      <rPr>
        <sz val="7"/>
        <color theme="1"/>
        <rFont val="Times New Roman"/>
        <family val="1"/>
      </rPr>
      <t xml:space="preserve">      </t>
    </r>
    <r>
      <rPr>
        <sz val="10"/>
        <color theme="1"/>
        <rFont val="Arial"/>
        <family val="2"/>
      </rPr>
      <t xml:space="preserve">(DE) German  - </t>
    </r>
    <r>
      <rPr>
        <i/>
        <sz val="10"/>
        <color theme="1"/>
        <rFont val="Arial"/>
        <family val="2"/>
      </rPr>
      <t>A2</t>
    </r>
  </si>
  <si>
    <r>
      <t>·</t>
    </r>
    <r>
      <rPr>
        <sz val="7"/>
        <color theme="1"/>
        <rFont val="Times New Roman"/>
        <family val="1"/>
      </rPr>
      <t xml:space="preserve">       </t>
    </r>
    <r>
      <rPr>
        <sz val="10"/>
        <color theme="1"/>
        <rFont val="Arial"/>
        <family val="2"/>
      </rPr>
      <t>Metaverse and Virtual Realities</t>
    </r>
  </si>
  <si>
    <r>
      <t>·</t>
    </r>
    <r>
      <rPr>
        <sz val="7"/>
        <color theme="1"/>
        <rFont val="Times New Roman"/>
        <family val="1"/>
      </rPr>
      <t xml:space="preserve">      </t>
    </r>
    <r>
      <rPr>
        <sz val="10"/>
        <color theme="1"/>
        <rFont val="Arial"/>
        <family val="2"/>
      </rPr>
      <t xml:space="preserve">(SI)   Sinhala  - </t>
    </r>
    <r>
      <rPr>
        <i/>
        <sz val="10"/>
        <color theme="1"/>
        <rFont val="Arial"/>
        <family val="2"/>
      </rPr>
      <t>Fluent</t>
    </r>
  </si>
  <si>
    <r>
      <t>·</t>
    </r>
    <r>
      <rPr>
        <sz val="7"/>
        <color theme="1"/>
        <rFont val="Times New Roman"/>
        <family val="1"/>
      </rPr>
      <t xml:space="preserve">       </t>
    </r>
    <r>
      <rPr>
        <sz val="10"/>
        <color theme="1"/>
        <rFont val="Arial"/>
        <family val="2"/>
      </rPr>
      <t>Robotics and Automation Systems</t>
    </r>
  </si>
  <si>
    <t>EXPERIENCE</t>
  </si>
  <si>
    <t>07.2001 - 08.2020</t>
  </si>
  <si>
    <r>
      <t xml:space="preserve">General Manager - </t>
    </r>
    <r>
      <rPr>
        <i/>
        <sz val="10"/>
        <color rgb="FFFF0000"/>
        <rFont val="Arial"/>
        <family val="2"/>
      </rPr>
      <t>SUNBIRD Solar Technology Division</t>
    </r>
  </si>
  <si>
    <r>
      <t xml:space="preserve">Jude Fernandopulle Associates (Pvt) Ltd. </t>
    </r>
    <r>
      <rPr>
        <i/>
        <sz val="9"/>
        <color theme="1"/>
        <rFont val="Arial"/>
        <family val="2"/>
      </rPr>
      <t>- Sri Lanka</t>
    </r>
  </si>
  <si>
    <t>The company is a Renewable Energy Provider, engaged in developing, manufacturing, sales and installation of Solar Hotwater and PV Electricity Systems. During my tenure, the company developed from what was originally a back-yard project with a monthly turnover of around 0,3mio in 2001, to grossing over 30,0mio (as at 2020).</t>
  </si>
  <si>
    <t>■ I had complete responsibility of developing and maintaining the entire IT network, from PC’s, software and applications, standard documents and worksheets, physical LAN / switches / routers, and NAS etc.</t>
  </si>
  <si>
    <t>■ I personally undertook to completely overhaul the original company website(s) which was based on the WordPress CMS.</t>
  </si>
  <si>
    <t>■ Additionally, I was directly involved in further developing all aspects of the current website(s) in collaboration with the web-developers, including two web-based apps for a sales inquiry management system (SBIOS) and a sales-turnover management system (SNOW).</t>
  </si>
  <si>
    <t>■ I have also developed a data-driven, multi-user, Showroom Inquiry and Proforma Invoice Generation system using a only web-based Excel365 workbook.</t>
  </si>
  <si>
    <t>■ I continue to provide the company with Hosting and Email services as a sub-ISP.</t>
  </si>
  <si>
    <t>■ My ideas and inputs were invaluable in conceptualizing and expanding our main facility, with a modern production factory, stores, product testing area and office complex etc.</t>
  </si>
  <si>
    <t>■ My team and I were directly involved in setting up and developing our Island-wide sales and distribution network with 11 regional offices (previously it was only the one office).</t>
  </si>
  <si>
    <t>■ I spear-headed the new import and export division and was in the forefront of our international outreach programs for technical collaboration and exports.</t>
  </si>
  <si>
    <t>Previous Work History:</t>
  </si>
  <si>
    <t>1998-1999</t>
  </si>
  <si>
    <t>Personnel Officer</t>
  </si>
  <si>
    <r>
      <t>United Tobacco Processing (Pvt) Ltd. -</t>
    </r>
    <r>
      <rPr>
        <i/>
        <sz val="10"/>
        <color theme="1"/>
        <rFont val="Arial"/>
        <family val="2"/>
      </rPr>
      <t xml:space="preserve"> Sri Lanka</t>
    </r>
  </si>
  <si>
    <t>Duty Manager</t>
  </si>
  <si>
    <r>
      <t>Holiday Inn Hotel (Alhambra Hotels) -</t>
    </r>
    <r>
      <rPr>
        <i/>
        <sz val="10"/>
        <color theme="1"/>
        <rFont val="Arial"/>
        <family val="2"/>
      </rPr>
      <t xml:space="preserve"> Sri Lanka</t>
    </r>
  </si>
  <si>
    <t>1997-1998</t>
  </si>
  <si>
    <t xml:space="preserve">Senior Executive - Operations and IT </t>
  </si>
  <si>
    <r>
      <t xml:space="preserve">Airwing Tours (Pvt) Ltd, </t>
    </r>
    <r>
      <rPr>
        <i/>
        <sz val="10"/>
        <color theme="1"/>
        <rFont val="Arial"/>
        <family val="2"/>
      </rPr>
      <t>- Sri Lanka</t>
    </r>
  </si>
  <si>
    <t>1995-1997</t>
  </si>
  <si>
    <t>Manager-IT / Operations Assistant</t>
  </si>
  <si>
    <r>
      <t xml:space="preserve">Padua Marine Exports (Pvt) Ltd, - </t>
    </r>
    <r>
      <rPr>
        <i/>
        <sz val="10"/>
        <color theme="1"/>
        <rFont val="Arial"/>
        <family val="2"/>
      </rPr>
      <t>Sri Lanka</t>
    </r>
  </si>
  <si>
    <t>1992-1994</t>
  </si>
  <si>
    <t xml:space="preserve">Executive Secretary </t>
  </si>
  <si>
    <r>
      <t xml:space="preserve">GAMA Services Ltd. (FAL Group), - </t>
    </r>
    <r>
      <rPr>
        <i/>
        <sz val="10"/>
        <color theme="1"/>
        <rFont val="Arial"/>
        <family val="2"/>
      </rPr>
      <t>Saudi Arabia</t>
    </r>
  </si>
  <si>
    <t>1990-1992</t>
  </si>
  <si>
    <t>Operations Asst. / Software Developer</t>
  </si>
  <si>
    <r>
      <t>Commercial Leasing Co (Pvt) Ltd., -</t>
    </r>
    <r>
      <rPr>
        <i/>
        <sz val="10"/>
        <color theme="1"/>
        <rFont val="Arial"/>
        <family val="2"/>
      </rPr>
      <t xml:space="preserve"> Sri Lanka</t>
    </r>
  </si>
  <si>
    <t>1987-1989</t>
  </si>
  <si>
    <t>Management Trainee</t>
  </si>
  <si>
    <r>
      <t xml:space="preserve">Eskimo Fashion Knitwear (Lanka) Ltd., - </t>
    </r>
    <r>
      <rPr>
        <i/>
        <sz val="10"/>
        <color theme="1"/>
        <rFont val="Arial"/>
        <family val="2"/>
      </rPr>
      <t>Sri Lanka</t>
    </r>
  </si>
  <si>
    <t>EDUCATION</t>
  </si>
  <si>
    <t>1975-1987</t>
  </si>
  <si>
    <t>General Certificate of Education</t>
  </si>
  <si>
    <r>
      <t xml:space="preserve">Maris Stella College, - </t>
    </r>
    <r>
      <rPr>
        <i/>
        <sz val="10"/>
        <color theme="1"/>
        <rFont val="Arial"/>
        <family val="2"/>
      </rPr>
      <t>Sri Lanka</t>
    </r>
  </si>
  <si>
    <t>Main focus on Physics/Mathematics.</t>
  </si>
  <si>
    <t>REFERENCES</t>
  </si>
  <si>
    <t>Mr. Jorge Paul</t>
  </si>
  <si>
    <t>Tel: 0152 0720 4102</t>
  </si>
  <si>
    <t xml:space="preserve">Lead Instructor / Team Lead Web Development </t>
  </si>
  <si>
    <t>Email: jserranopaul@gmail.com</t>
  </si>
  <si>
    <t>WBS CODING SCHOOL</t>
  </si>
  <si>
    <t>Bad Wiessee.</t>
  </si>
  <si>
    <t>Victor Wright</t>
  </si>
  <si>
    <t>EMPLOYMENT</t>
  </si>
  <si>
    <r>
      <t xml:space="preserve">Freelancer (Online)
</t>
    </r>
    <r>
      <rPr>
        <i/>
        <sz val="9"/>
        <color theme="8" tint="-0.249977111117893"/>
        <rFont val="Calibri"/>
        <family val="2"/>
        <scheme val="minor"/>
      </rPr>
      <t xml:space="preserve">09.2020 - present , Germany </t>
    </r>
  </si>
  <si>
    <t>Consultant / Developer / IT Services</t>
  </si>
  <si>
    <t>Websites • Apps • Graphic Design/Artwork •
Web Hosting/Support Services • Hardware- Installation/Setup • LAN/WiFi Networking •
Excel (Advanced) • English writing/proofing</t>
  </si>
  <si>
    <r>
      <t xml:space="preserve">Migrated to Germany
</t>
    </r>
    <r>
      <rPr>
        <i/>
        <sz val="8"/>
        <color theme="8" tint="-0.249977111117893"/>
        <rFont val="Arial"/>
        <family val="2"/>
      </rPr>
      <t>08.2020</t>
    </r>
  </si>
  <si>
    <t>Permanent move (due to marriage), so I decided to make a career change, to follow
my life-long passion of being a Coder / Nerd
 / IT Expert.</t>
  </si>
  <si>
    <r>
      <t xml:space="preserve">Jude Fernandopulle Associates Pvt. Ltd.
</t>
    </r>
    <r>
      <rPr>
        <i/>
        <sz val="8"/>
        <color theme="8" tint="-0.249977111117893"/>
        <rFont val="Arial"/>
        <family val="2"/>
      </rPr>
      <t>07.2001 - 08.2020, Sri Lanka</t>
    </r>
  </si>
  <si>
    <r>
      <t xml:space="preserve">General Manager - </t>
    </r>
    <r>
      <rPr>
        <i/>
        <sz val="10"/>
        <color theme="8"/>
        <rFont val="Arial"/>
        <family val="2"/>
      </rPr>
      <t>Solar Technology Div.</t>
    </r>
  </si>
  <si>
    <t>■ Full responsibility to develop and maintain
the entire IT network: PC’s and softwares, document formats, worksheets, physical
LAN, switches / routers, NAS, etc.</t>
  </si>
  <si>
    <t>The company is a
 Renewable Energy Provider,
 engaged in  developing,
 manufacturing, sales and
 installation of Solar Hotwater
 and PV Electricity Systems.
During my 20 years here,
 the company developed from
a small, back-yard project
 with a monthly turnover of
 &lt;0,3mio in 2001, to grossing
 over 30,0mio (as at 2020).
http://www.sunbird.lk/</t>
  </si>
  <si>
    <t>♦ Single-Page Apps</t>
  </si>
  <si>
    <t>♦ Multi-Page Apps/server-side rendering</t>
  </si>
  <si>
    <t>■ Completely overhauled the company website(s) based on WordPress.</t>
  </si>
  <si>
    <t>♦ Relational Databases</t>
  </si>
  <si>
    <t>♦ RESTful API's</t>
  </si>
  <si>
    <t>■ Directly involved in developing the current website(s) in collaboration with developers,
plus two web-apps for inquiry management
(SBIOS) and sales-turnover (SNOW).</t>
  </si>
  <si>
    <t>An extensive expertise over 20years in IT 
and Management background, encom-passing Systems Analysis and Design, software and website development, setup
and administration of networks, installation and troubleshooting hardware and software etc. Because of my long management experience, I possess strong corporate and customer-service skills.</t>
  </si>
  <si>
    <t>■ Developed and still maintaining a data-
driven, multi-user, Showroom Inquiry and 
Proforma Invoice Generation system using 
Excel365 online.</t>
  </si>
  <si>
    <t>http://www.sunbird.lk/</t>
  </si>
  <si>
    <t>■ Provider of Hosting and Email services.</t>
  </si>
  <si>
    <t>■ Worked with and managed 50+ personnel.</t>
  </si>
  <si>
    <t>■ Gave invaluable ideas and inputs in conceptualizing and expanding our main 
facility, with modern factory, stores, testing 
area and office complex.</t>
  </si>
  <si>
    <t>• HTML5 / CSS3</t>
  </si>
  <si>
    <t>• JavaScript ES6 (REACT)</t>
  </si>
  <si>
    <t>• TypeScript</t>
  </si>
  <si>
    <t>■ Directly involved in setting up 11 regional sales &amp; distribution centres island-wide.</t>
  </si>
  <si>
    <t>• Node.JS (Express)</t>
  </si>
  <si>
    <t>■ Spear-headed the new imp/exp department and international outreach programs.</t>
  </si>
  <si>
    <t>• RESTful API’s</t>
  </si>
  <si>
    <t>• PHP</t>
  </si>
  <si>
    <t>• Apache Server</t>
  </si>
  <si>
    <t>Previous Work History</t>
  </si>
  <si>
    <r>
      <rPr>
        <b/>
        <sz val="10"/>
        <color theme="8" tint="-0.249977111117893"/>
        <rFont val="Arial"/>
        <family val="2"/>
      </rPr>
      <t xml:space="preserve">United Tobacco Processing Pvt. Ltd.
</t>
    </r>
    <r>
      <rPr>
        <i/>
        <sz val="8"/>
        <color theme="8" tint="-0.249977111117893"/>
        <rFont val="Arial"/>
        <family val="2"/>
      </rPr>
      <t>1998-1999, Sri Lanka</t>
    </r>
  </si>
  <si>
    <t>• MySQL / PostgreSQL</t>
  </si>
  <si>
    <t>■ Managing recruitment, staffing, welfare and security.</t>
  </si>
  <si>
    <t>• MongoDB</t>
  </si>
  <si>
    <t>Other</t>
  </si>
  <si>
    <t>• Git (GitHub)</t>
  </si>
  <si>
    <r>
      <rPr>
        <b/>
        <sz val="10"/>
        <color theme="8" tint="-0.249977111117893"/>
        <rFont val="Arial"/>
        <family val="2"/>
      </rPr>
      <t xml:space="preserve">Holiday Inn Hotel
</t>
    </r>
    <r>
      <rPr>
        <i/>
        <sz val="8"/>
        <color theme="8" tint="-0.249977111117893"/>
        <rFont val="Arial"/>
        <family val="2"/>
      </rPr>
      <t>1998, Sri Lanka</t>
    </r>
  </si>
  <si>
    <t>• Vercel / Heroku</t>
  </si>
  <si>
    <t>■ Front-office, Guest relations and security.</t>
  </si>
  <si>
    <t>• Jason Web Token</t>
  </si>
  <si>
    <t>• Headless CMS</t>
  </si>
  <si>
    <r>
      <rPr>
        <b/>
        <sz val="10"/>
        <color theme="8" tint="-0.249977111117893"/>
        <rFont val="Arial"/>
        <family val="2"/>
      </rPr>
      <t xml:space="preserve">Airwing Tours Pvt. Ltd.
</t>
    </r>
    <r>
      <rPr>
        <i/>
        <sz val="8"/>
        <color theme="8" tint="-0.249977111117893"/>
        <rFont val="Arial"/>
        <family val="2"/>
      </rPr>
      <t>1997-1998, Sri Lanka</t>
    </r>
  </si>
  <si>
    <t>Senior Executive - IT &amp; Operations</t>
  </si>
  <si>
    <t>• WordPress</t>
  </si>
  <si>
    <t>■ Computerisation of Tour Package &amp; quotes.</t>
  </si>
  <si>
    <r>
      <rPr>
        <b/>
        <sz val="10"/>
        <color theme="8" tint="-0.249977111117893"/>
        <rFont val="Arial"/>
        <family val="2"/>
      </rPr>
      <t>Padua Marine Exports</t>
    </r>
    <r>
      <rPr>
        <i/>
        <sz val="10"/>
        <color theme="8" tint="-0.249977111117893"/>
        <rFont val="Arial"/>
        <family val="2"/>
      </rPr>
      <t xml:space="preserve">
</t>
    </r>
    <r>
      <rPr>
        <i/>
        <sz val="8"/>
        <color theme="8" tint="-0.249977111117893"/>
        <rFont val="Arial"/>
        <family val="2"/>
      </rPr>
      <t>1995-1997, Sri Lanka</t>
    </r>
  </si>
  <si>
    <t>■ PC based management of all operations.</t>
  </si>
  <si>
    <t>http://vrw-gh.github.io/vrw-GH</t>
  </si>
  <si>
    <t>www.linkedin.com/in/victor-r-wright</t>
  </si>
  <si>
    <r>
      <t xml:space="preserve">GAMA Services Ltd.
</t>
    </r>
    <r>
      <rPr>
        <i/>
        <sz val="8"/>
        <color theme="8" tint="-0.249977111117893"/>
        <rFont val="Arial"/>
        <family val="2"/>
      </rPr>
      <t>1992-1994, Saudi Arabia</t>
    </r>
  </si>
  <si>
    <t>victor.wright@outlook.de</t>
  </si>
  <si>
    <t>■ Corporate Catering and Engineering CEO's.</t>
  </si>
  <si>
    <t xml:space="preserve">Semmelbergstr 14, </t>
  </si>
  <si>
    <r>
      <t xml:space="preserve">Commercial Leasing Co.
</t>
    </r>
    <r>
      <rPr>
        <i/>
        <sz val="8"/>
        <color theme="8" tint="-0.249977111117893"/>
        <rFont val="Arial"/>
        <family val="2"/>
      </rPr>
      <t>1990-1992, Sri Lanka</t>
    </r>
  </si>
  <si>
    <t>Software Developer/Operations Asst.</t>
  </si>
  <si>
    <t>Bad Wiessee 83707, Germany.</t>
  </si>
  <si>
    <t>■ Developed Clipper-based app for operations.</t>
  </si>
  <si>
    <t>OTHER SKILLS</t>
  </si>
  <si>
    <r>
      <t xml:space="preserve">Previous Work History      - </t>
    </r>
    <r>
      <rPr>
        <i/>
        <u/>
        <sz val="10"/>
        <color rgb="FF00B0F0"/>
        <rFont val="Arial"/>
        <family val="2"/>
      </rPr>
      <t>continued</t>
    </r>
  </si>
  <si>
    <r>
      <t xml:space="preserve">Eskimo Fashion Knitwear (Lanka) Ltd.
</t>
    </r>
    <r>
      <rPr>
        <i/>
        <sz val="8"/>
        <color theme="8" tint="-0.249977111117893"/>
        <rFont val="Arial"/>
        <family val="2"/>
      </rPr>
      <t>1987-1989, Sri Lanka</t>
    </r>
  </si>
  <si>
    <t>• MS Windows</t>
  </si>
  <si>
    <t>■ Product Design, Production, Quality Control, Workforce, Maintenance of knitting machines.</t>
  </si>
  <si>
    <t>• MS Excel</t>
  </si>
  <si>
    <t>• MS Word</t>
  </si>
  <si>
    <t>• CorelDraw</t>
  </si>
  <si>
    <t>• Adobe Photoshop</t>
  </si>
  <si>
    <t>• FoxPro &amp; DB tables</t>
  </si>
  <si>
    <r>
      <t xml:space="preserve">WBS Coding School
</t>
    </r>
    <r>
      <rPr>
        <i/>
        <sz val="8"/>
        <color theme="8" tint="-0.249977111117893"/>
        <rFont val="Arial"/>
        <family val="2"/>
      </rPr>
      <t>09.2021 - 01.2022 - Germany</t>
    </r>
  </si>
  <si>
    <t>• Figma</t>
  </si>
  <si>
    <r>
      <t>Final Project: “</t>
    </r>
    <r>
      <rPr>
        <b/>
        <sz val="10"/>
        <color theme="8" tint="-0.249977111117893"/>
        <rFont val="Arial"/>
        <family val="2"/>
      </rPr>
      <t>Share My Food</t>
    </r>
    <r>
      <rPr>
        <sz val="10"/>
        <color theme="8" tint="-0.249977111117893"/>
        <rFont val="Arial"/>
        <family val="2"/>
      </rPr>
      <t>” 
Developed using the P.E.R.N. stack :-</t>
    </r>
  </si>
  <si>
    <t>• UI / UX basics</t>
  </si>
  <si>
    <t>• Jira / Trello</t>
  </si>
  <si>
    <t>• Scrum</t>
  </si>
  <si>
    <t>Networking / Internet</t>
  </si>
  <si>
    <t>• Web Hosting / Email</t>
  </si>
  <si>
    <t>• LAN / WAN / Wi-Fi</t>
  </si>
  <si>
    <r>
      <rPr>
        <b/>
        <sz val="10"/>
        <color theme="8" tint="-0.249977111117893"/>
        <rFont val="Arial"/>
        <family val="2"/>
      </rPr>
      <t xml:space="preserve">EDP Services (Pvt) Ltd.
</t>
    </r>
    <r>
      <rPr>
        <i/>
        <sz val="8"/>
        <color theme="8" tint="-0.249977111117893"/>
        <rFont val="Arial"/>
        <family val="2"/>
      </rPr>
      <t>05.1990 -05.1991 - Sri Lanka.</t>
    </r>
  </si>
  <si>
    <t>• Hardware / Network</t>
  </si>
  <si>
    <r>
      <t xml:space="preserve">Final Project: </t>
    </r>
    <r>
      <rPr>
        <b/>
        <sz val="10"/>
        <color theme="8" tint="-0.249977111117893"/>
        <rFont val="Arial"/>
        <family val="2"/>
      </rPr>
      <t>“Design of IT System for Leasing Operations”</t>
    </r>
    <r>
      <rPr>
        <sz val="10"/>
        <color theme="8" tint="-0.249977111117893"/>
        <rFont val="Arial"/>
        <family val="2"/>
      </rPr>
      <t xml:space="preserve"> at :-</t>
    </r>
  </si>
  <si>
    <t>• Communication</t>
  </si>
  <si>
    <t>• Collaboration &amp; Teamwork</t>
  </si>
  <si>
    <t>• Comprehension</t>
  </si>
  <si>
    <t>• Independent work</t>
  </si>
  <si>
    <t>• Creativity</t>
  </si>
  <si>
    <t>• Flexibility</t>
  </si>
  <si>
    <t>• Attention to detail</t>
  </si>
  <si>
    <t>SCHOOLING</t>
  </si>
  <si>
    <t>• Problem-solving</t>
  </si>
  <si>
    <r>
      <rPr>
        <b/>
        <sz val="10"/>
        <color theme="8" tint="-0.249977111117893"/>
        <rFont val="Arial"/>
        <family val="2"/>
      </rPr>
      <t xml:space="preserve">Maris Stella College
</t>
    </r>
    <r>
      <rPr>
        <i/>
        <sz val="8"/>
        <color theme="8" tint="-0.249977111117893"/>
        <rFont val="Arial"/>
        <family val="2"/>
      </rPr>
      <t>01.1975 - 08.1987 - Sri Lanka</t>
    </r>
  </si>
  <si>
    <t>• Service-oriented</t>
  </si>
  <si>
    <t>Year 13: Physics(+), Maths(-), Chem(-)</t>
  </si>
  <si>
    <t>• (EN) English  - Native</t>
  </si>
  <si>
    <t>• (DE) German  - A2</t>
  </si>
  <si>
    <r>
      <t xml:space="preserve">WBS Coding School
</t>
    </r>
    <r>
      <rPr>
        <i/>
        <sz val="9"/>
        <color theme="8" tint="-0.249977111117893"/>
        <rFont val="Arial"/>
        <family val="2"/>
      </rPr>
      <t xml:space="preserve">(Lead Instructor) </t>
    </r>
    <r>
      <rPr>
        <sz val="9"/>
        <color theme="8" tint="-0.249977111117893"/>
        <rFont val="Arial"/>
        <family val="2"/>
      </rPr>
      <t xml:space="preserve">
</t>
    </r>
    <r>
      <rPr>
        <b/>
        <sz val="9"/>
        <color theme="8" tint="-0.249977111117893"/>
        <rFont val="Arial"/>
        <family val="2"/>
      </rPr>
      <t xml:space="preserve">Team Lead - Web Dev. </t>
    </r>
  </si>
  <si>
    <t>• (SI)   Sinhala  - Fluent</t>
  </si>
  <si>
    <t>jorge.paul@wbscodingschool.com</t>
  </si>
  <si>
    <t>• Coding for the Future</t>
  </si>
  <si>
    <t>• Ideas for Metaverse &amp; Virtual Realities</t>
  </si>
  <si>
    <t>• Robotics and Automation Systems</t>
  </si>
  <si>
    <t>Consultant / Developer / IT Support</t>
  </si>
  <si>
    <t>■ Apps                 ■ Graphic Design
■ Websites           ■ Hardware support
■ Web Services     ■ Advanced Excel
■ Network             ■ English writing/proofing</t>
  </si>
  <si>
    <r>
      <rPr>
        <b/>
        <i/>
        <sz val="10"/>
        <color theme="8" tint="-0.24994659260841701"/>
        <rFont val="Arial"/>
        <family val="2"/>
      </rPr>
      <t xml:space="preserve">30+
</t>
    </r>
    <r>
      <rPr>
        <i/>
        <sz val="10"/>
        <color theme="8" tint="-0.24994659260841701"/>
        <rFont val="Arial"/>
        <family val="2"/>
      </rPr>
      <t>years in
Information
Technology
and Management</t>
    </r>
  </si>
  <si>
    <t>Permenent move, and career change - due
to marriage.</t>
  </si>
  <si>
    <t>■ In addition to the General Management role, I was also responsible for handling all software, hardware, network, and web-related matters in the absense of an IT department.</t>
  </si>
  <si>
    <t>Core Knowledge:</t>
  </si>
  <si>
    <t xml:space="preserve">  • Website/apps development
    - Single-page &amp; Multi-page/Server-side
  • Network administration
  • Software, hardware, networks 
    - Installation, setup &amp; troubleshooting</t>
  </si>
  <si>
    <t xml:space="preserve">Renewable Energy Provider for Solar- Photo Voltaics and Hotwater Systems.
</t>
  </si>
  <si>
    <r>
      <rPr>
        <b/>
        <sz val="10"/>
        <color theme="8" tint="-0.249977111117893"/>
        <rFont val="Arial"/>
        <family val="2"/>
      </rPr>
      <t xml:space="preserve">Previous Experience
</t>
    </r>
    <r>
      <rPr>
        <i/>
        <sz val="8"/>
        <color theme="8" tint="-0.249977111117893"/>
        <rFont val="Arial"/>
        <family val="2"/>
      </rPr>
      <t>1987-1999, Sri Lanka
(with 2+ yrs in Middle East)</t>
    </r>
  </si>
  <si>
    <t>■ Personnel Officer</t>
  </si>
  <si>
    <t>■ Hotel Duty Manager</t>
  </si>
  <si>
    <t>■ Senior Executive - IT &amp; Operations</t>
  </si>
  <si>
    <t>■ IT Manager &amp; Operations Assistant</t>
  </si>
  <si>
    <t>■ Executive Secretary (Saudi Arabia)</t>
  </si>
  <si>
    <t>• CI/CD (Heroku/Netlify)</t>
  </si>
  <si>
    <t>■ Software Developer/Operations Asst.</t>
  </si>
  <si>
    <t>■ Management Trainee</t>
  </si>
  <si>
    <r>
      <t>Final Project: “</t>
    </r>
    <r>
      <rPr>
        <b/>
        <sz val="10"/>
        <color theme="8" tint="-0.249977111117893"/>
        <rFont val="Arial"/>
        <family val="2"/>
      </rPr>
      <t>Share My Food</t>
    </r>
    <r>
      <rPr>
        <sz val="10"/>
        <color theme="8" tint="-0.249977111117893"/>
        <rFont val="Arial"/>
        <family val="2"/>
      </rPr>
      <t xml:space="preserve">” 
A full-stack web application developed using the P.E.R.N. stack :- </t>
    </r>
    <r>
      <rPr>
        <i/>
        <sz val="10"/>
        <color theme="8" tint="-0.249977111117893"/>
        <rFont val="Arial"/>
        <family val="2"/>
      </rPr>
      <t xml:space="preserve"> (link below)</t>
    </r>
  </si>
  <si>
    <t>A project based, practice oriented, collaborative coding training as a full-time
remote bootcamp (600hrs).</t>
  </si>
  <si>
    <t>SOFT SKILLS</t>
  </si>
  <si>
    <t>■ Systems Analysis and Design
■ Computer Fundamentals
■ Operating Systems, Hardware &amp; Software
■ Basic, Dbase, Cobol, RPG, Fortran</t>
  </si>
  <si>
    <t>Full-time course (12 months) with 180hrs practical work on PCs and Mainframes.</t>
  </si>
  <si>
    <t xml:space="preserve"> </t>
  </si>
  <si>
    <r>
      <rPr>
        <b/>
        <i/>
        <sz val="8"/>
        <color theme="5" tint="-0.24994659260841701"/>
        <rFont val="Arial"/>
        <family val="2"/>
      </rPr>
      <t xml:space="preserve">09.2020 - present
</t>
    </r>
    <r>
      <rPr>
        <b/>
        <sz val="11"/>
        <color theme="8" tint="-0.249977111117893"/>
        <rFont val="Calibri"/>
        <family val="2"/>
        <scheme val="minor"/>
      </rPr>
      <t>Freelancer (Online)</t>
    </r>
    <r>
      <rPr>
        <i/>
        <sz val="9"/>
        <color theme="8" tint="-0.249977111117893"/>
        <rFont val="Calibri"/>
        <family val="2"/>
        <scheme val="minor"/>
      </rPr>
      <t xml:space="preserve">
Bavaria, Germany </t>
    </r>
  </si>
  <si>
    <t>Developer, IT Consultant &amp; Support</t>
  </si>
  <si>
    <t xml:space="preserve">■ Apps                 
■ Websites           
■ Web Services    ■ Network             </t>
  </si>
  <si>
    <t>■ Graphic Design
■ Hardware support
■ Advanced Excel
■ English writing/proofing</t>
  </si>
  <si>
    <r>
      <rPr>
        <b/>
        <i/>
        <sz val="10"/>
        <color theme="5" tint="-0.24994659260841701"/>
        <rFont val="Arial"/>
        <family val="2"/>
      </rPr>
      <t xml:space="preserve">30+ </t>
    </r>
    <r>
      <rPr>
        <i/>
        <sz val="10"/>
        <color theme="5" tint="-0.24994659260841701"/>
        <rFont val="Arial"/>
        <family val="2"/>
      </rPr>
      <t xml:space="preserve">years
experience
 in Information
Technology
and Management
</t>
    </r>
  </si>
  <si>
    <r>
      <rPr>
        <b/>
        <i/>
        <sz val="8"/>
        <color theme="5" tint="-0.24994659260841701"/>
        <rFont val="Arial"/>
        <family val="2"/>
      </rPr>
      <t xml:space="preserve">08.2020
</t>
    </r>
    <r>
      <rPr>
        <b/>
        <sz val="10"/>
        <color theme="8" tint="-0.249977111117893"/>
        <rFont val="Arial"/>
        <family val="2"/>
      </rPr>
      <t>Migrated to Germany</t>
    </r>
  </si>
  <si>
    <t>Permanent move due to marriage with German National - and change of career.</t>
  </si>
  <si>
    <r>
      <rPr>
        <b/>
        <i/>
        <sz val="8"/>
        <color theme="5" tint="-0.24994659260841701"/>
        <rFont val="Arial"/>
        <family val="2"/>
      </rPr>
      <t>07.2001 - 08.2020</t>
    </r>
    <r>
      <rPr>
        <b/>
        <sz val="10"/>
        <color theme="8" tint="-0.249977111117893"/>
        <rFont val="Arial"/>
        <family val="2"/>
      </rPr>
      <t xml:space="preserve">
Jude Fernandopulle Associates Pvt. Ltd
</t>
    </r>
    <r>
      <rPr>
        <i/>
        <sz val="10"/>
        <color theme="8" tint="-0.249977111117893"/>
        <rFont val="Arial"/>
        <family val="2"/>
      </rPr>
      <t>(Solar Technology Div.)</t>
    </r>
    <r>
      <rPr>
        <b/>
        <i/>
        <sz val="8"/>
        <color theme="8" tint="-0.249977111117893"/>
        <rFont val="Arial"/>
        <family val="2"/>
      </rPr>
      <t xml:space="preserve">
</t>
    </r>
    <r>
      <rPr>
        <i/>
        <sz val="8"/>
        <color theme="8" tint="-0.249977111117893"/>
        <rFont val="Arial"/>
        <family val="2"/>
      </rPr>
      <t>Negombo, Sri Lanka</t>
    </r>
  </si>
  <si>
    <t>General Manager &amp; IT Specialist</t>
  </si>
  <si>
    <t>■ Responsible for all IT - software, hardware,
   network, Hosting services, website.
■ Completely overhauled the original
   company website (WordPress).
■ Directly involved in developing the current 
   website(s) plus two web-apps for inquiry
   management (SBIOS) and sales-turnover
   (SNOW) in collaboration with developers.
■ Developed and still maintaining a data-
   driven, multi-user, online Inquiry and
   Proforma Invoice Generation system
   using Excel365.
■ Provider of Hosting and Email services.
■ Management, Administration, Production,
   Sales &amp; Marketing, After-Sales Services,
   Product Design and Development.
■ Worked with and managed 50+ personnel.</t>
  </si>
  <si>
    <t>Core Knowledge :</t>
  </si>
  <si>
    <t xml:space="preserve">  • Apps and websites development
    - Single &amp; multi-page, server-side apps
  • Network administration, web services
  • Software, hardware, networks 
    - Installation, setup &amp; troubleshooting</t>
  </si>
  <si>
    <t>Renewable Energy Provider -
Solar Photo Voltaic
 Solar Hotwater Systems</t>
  </si>
  <si>
    <t>Front-End :</t>
  </si>
  <si>
    <t>Back-End :</t>
  </si>
  <si>
    <r>
      <rPr>
        <b/>
        <i/>
        <sz val="8"/>
        <color theme="5" tint="-0.24994659260841701"/>
        <rFont val="Arial"/>
        <family val="2"/>
      </rPr>
      <t>1987 - 1999</t>
    </r>
    <r>
      <rPr>
        <b/>
        <sz val="10"/>
        <color theme="8" tint="-0.249977111117893"/>
        <rFont val="Arial"/>
        <family val="2"/>
      </rPr>
      <t xml:space="preserve">
Previous Experience</t>
    </r>
    <r>
      <rPr>
        <i/>
        <sz val="8"/>
        <color theme="8" tint="-0.249977111117893"/>
        <rFont val="Arial"/>
        <family val="2"/>
      </rPr>
      <t xml:space="preserve">
Sri Lanka and Middle East</t>
    </r>
  </si>
  <si>
    <t>Databases :</t>
  </si>
  <si>
    <t>Additional :</t>
  </si>
  <si>
    <r>
      <rPr>
        <b/>
        <i/>
        <sz val="8"/>
        <color theme="5" tint="-0.24994659260841701"/>
        <rFont val="Arial"/>
        <family val="2"/>
      </rPr>
      <t>09.2021 - 01.2022</t>
    </r>
    <r>
      <rPr>
        <b/>
        <sz val="10"/>
        <color theme="8" tint="-0.249977111117893"/>
        <rFont val="Arial"/>
        <family val="2"/>
      </rPr>
      <t xml:space="preserve">
WBS Coding School</t>
    </r>
    <r>
      <rPr>
        <b/>
        <i/>
        <sz val="8"/>
        <color theme="5" tint="-0.24994659260841701"/>
        <rFont val="Arial"/>
        <family val="2"/>
      </rPr>
      <t xml:space="preserve">
</t>
    </r>
    <r>
      <rPr>
        <i/>
        <sz val="8"/>
        <color theme="8" tint="-0.249977111117893"/>
        <rFont val="Arial"/>
        <family val="2"/>
      </rPr>
      <t>Berlin, Germany</t>
    </r>
  </si>
  <si>
    <r>
      <t xml:space="preserve">......  </t>
    </r>
    <r>
      <rPr>
        <i/>
        <sz val="8"/>
        <color theme="8" tint="-0.249977111117893"/>
        <rFont val="Arial"/>
        <family val="2"/>
      </rPr>
      <t>PORTFOLIO</t>
    </r>
    <r>
      <rPr>
        <i/>
        <sz val="9"/>
        <color theme="8" tint="-0.249977111117893"/>
        <rFont val="Arial"/>
        <family val="2"/>
      </rPr>
      <t xml:space="preserve">  ......</t>
    </r>
  </si>
  <si>
    <r>
      <rPr>
        <sz val="9"/>
        <color theme="8" tint="-0.249977111117893"/>
        <rFont val="Arial"/>
        <family val="2"/>
      </rPr>
      <t xml:space="preserve">■  </t>
    </r>
    <r>
      <rPr>
        <i/>
        <sz val="9"/>
        <color theme="8" tint="-0.249977111117893"/>
        <rFont val="Arial"/>
        <family val="2"/>
      </rPr>
      <t>PORTFOLIO:-</t>
    </r>
  </si>
  <si>
    <t>Coding Bootcamp (600hrs).</t>
  </si>
  <si>
    <t>https://vrw-gh.github.io/sanskara</t>
  </si>
  <si>
    <t>• Share My Food App (Full-Stack App)</t>
  </si>
  <si>
    <t>https://vrw-gh.github.io/sharemyfood-backend</t>
  </si>
  <si>
    <t>• Sanskara Landing Page (React.js)</t>
  </si>
  <si>
    <r>
      <rPr>
        <b/>
        <i/>
        <sz val="8"/>
        <color theme="5" tint="-0.24994659260841701"/>
        <rFont val="Arial"/>
        <family val="2"/>
      </rPr>
      <t>05.1990 - 05.1991</t>
    </r>
    <r>
      <rPr>
        <b/>
        <sz val="10"/>
        <color theme="8" tint="-0.249977111117893"/>
        <rFont val="Arial"/>
        <family val="2"/>
      </rPr>
      <t xml:space="preserve">
EDP Services (Pvt) Ltd</t>
    </r>
    <r>
      <rPr>
        <b/>
        <i/>
        <sz val="8"/>
        <color theme="5" tint="-0.24994659260841701"/>
        <rFont val="Arial"/>
        <family val="2"/>
      </rPr>
      <t xml:space="preserve">
</t>
    </r>
    <r>
      <rPr>
        <i/>
        <sz val="8"/>
        <color theme="8" tint="-0.249977111117893"/>
        <rFont val="Arial"/>
        <family val="2"/>
      </rPr>
      <t>Sri Lanka</t>
    </r>
  </si>
  <si>
    <t>• Backend API (Node.js)</t>
  </si>
  <si>
    <t>• Collaboration/Teamwork</t>
  </si>
  <si>
    <t>Full-time course (1 year)</t>
  </si>
  <si>
    <r>
      <rPr>
        <b/>
        <i/>
        <sz val="8"/>
        <color theme="5" tint="-0.24994659260841701"/>
        <rFont val="Arial"/>
        <family val="2"/>
      </rPr>
      <t>01.1975 - 08.1987</t>
    </r>
    <r>
      <rPr>
        <b/>
        <sz val="10"/>
        <color theme="8" tint="-0.249977111117893"/>
        <rFont val="Arial"/>
        <family val="2"/>
      </rPr>
      <t xml:space="preserve">
Maris Stella College</t>
    </r>
    <r>
      <rPr>
        <b/>
        <sz val="11"/>
        <color theme="8" tint="-0.249977111117893"/>
        <rFont val="Arial"/>
        <family val="2"/>
      </rPr>
      <t xml:space="preserve">
</t>
    </r>
    <r>
      <rPr>
        <i/>
        <sz val="8"/>
        <color theme="8" tint="-0.249977111117893"/>
        <rFont val="Arial"/>
        <family val="2"/>
      </rPr>
      <t>Sri Lanka</t>
    </r>
  </si>
  <si>
    <r>
      <t>Year 13: "A" Levels (</t>
    </r>
    <r>
      <rPr>
        <i/>
        <sz val="10"/>
        <color theme="8" tint="-0.249977111117893"/>
        <rFont val="Arial"/>
        <family val="2"/>
      </rPr>
      <t>Science/Maths stream</t>
    </r>
    <r>
      <rPr>
        <sz val="10"/>
        <color theme="8" tint="-0.249977111117893"/>
        <rFont val="Arial"/>
        <family val="2"/>
      </rPr>
      <t>)</t>
    </r>
  </si>
  <si>
    <r>
      <t xml:space="preserve">Year 10: "O" Levels </t>
    </r>
    <r>
      <rPr>
        <i/>
        <sz val="10"/>
        <color theme="8" tint="-0.249977111117893"/>
        <rFont val="Arial"/>
        <family val="2"/>
      </rPr>
      <t>(8-Subjects)</t>
    </r>
  </si>
  <si>
    <r>
      <rPr>
        <b/>
        <i/>
        <sz val="8"/>
        <color theme="5" tint="-0.24994659260841701"/>
        <rFont val="Arial"/>
        <family val="2"/>
      </rPr>
      <t>Team Lead - Web Dev.</t>
    </r>
    <r>
      <rPr>
        <b/>
        <sz val="10"/>
        <color theme="8" tint="-0.249977111117893"/>
        <rFont val="Arial"/>
        <family val="2"/>
      </rPr>
      <t xml:space="preserve">
WBS Coding School
</t>
    </r>
    <r>
      <rPr>
        <i/>
        <sz val="8"/>
        <color theme="8" tint="-0.249977111117893"/>
        <rFont val="Arial"/>
        <family val="2"/>
      </rPr>
      <t>(Lead Instructor)</t>
    </r>
  </si>
  <si>
    <r>
      <rPr>
        <b/>
        <i/>
        <sz val="8"/>
        <color theme="5" tint="-0.24994659260841701"/>
        <rFont val="Arial"/>
        <family val="2"/>
      </rPr>
      <t>Team Lead - Web Dev.</t>
    </r>
    <r>
      <rPr>
        <b/>
        <sz val="10"/>
        <color theme="8" tint="-0.249977111117893"/>
        <rFont val="Arial"/>
        <family val="2"/>
      </rPr>
      <t xml:space="preserve">
WBS Coding School
</t>
    </r>
    <r>
      <rPr>
        <i/>
        <sz val="9"/>
        <color theme="8" tint="-0.249977111117893"/>
        <rFont val="Arial"/>
        <family val="2"/>
      </rPr>
      <t>(Lead Instructor)</t>
    </r>
  </si>
  <si>
    <r>
      <rPr>
        <b/>
        <i/>
        <sz val="10"/>
        <color theme="5" tint="-0.24994659260841701"/>
        <rFont val="Arial"/>
        <family val="2"/>
      </rPr>
      <t xml:space="preserve">30+ </t>
    </r>
    <r>
      <rPr>
        <i/>
        <sz val="10"/>
        <color theme="5" tint="-0.24994659260841701"/>
        <rFont val="Arial"/>
        <family val="2"/>
      </rPr>
      <t xml:space="preserve">years varied
experience in
Information Technology
and Management
</t>
    </r>
  </si>
  <si>
    <r>
      <t xml:space="preserve">......  </t>
    </r>
    <r>
      <rPr>
        <i/>
        <sz val="8"/>
        <color theme="8" tint="-0.249977111117893"/>
        <rFont val="Arial"/>
        <family val="2"/>
      </rPr>
      <t>Projects Portfolio</t>
    </r>
    <r>
      <rPr>
        <i/>
        <sz val="9"/>
        <color theme="8" tint="-0.249977111117893"/>
        <rFont val="Arial"/>
        <family val="2"/>
      </rPr>
      <t xml:space="preserve">  ......</t>
    </r>
  </si>
  <si>
    <t>Coding Bootcamp (600hrs)</t>
  </si>
  <si>
    <r>
      <rPr>
        <b/>
        <i/>
        <sz val="8"/>
        <color theme="5" tint="-0.24994659260841701"/>
        <rFont val="Arial"/>
        <family val="2"/>
      </rPr>
      <t xml:space="preserve">09.2020 - present
</t>
    </r>
    <r>
      <rPr>
        <b/>
        <sz val="11"/>
        <color theme="8" tint="-0.249977111117893"/>
        <rFont val="Calibri"/>
        <family val="2"/>
        <scheme val="minor"/>
      </rPr>
      <t>Freelancer 
(Online IT Support)</t>
    </r>
    <r>
      <rPr>
        <i/>
        <sz val="9"/>
        <color theme="8" tint="-0.249977111117893"/>
        <rFont val="Calibri"/>
        <family val="2"/>
        <scheme val="minor"/>
      </rPr>
      <t xml:space="preserve">
Bavaria, Germany </t>
    </r>
  </si>
  <si>
    <t>Career-change with permanent move due to marriage with German National.</t>
  </si>
  <si>
    <t>• TypeScript / Angular</t>
  </si>
  <si>
    <t>Server-side &amp; Back-end:</t>
  </si>
  <si>
    <t>■ Overall IT responsibility: software,
   hardware, network, infrastructure, website,
   and hosting services.
■ Complete overhaul of original company
    website (WordPress).
■ Directly involved in developing current 
   website(s).
■ Colab with devs for SBIOS (web-inquiries)
   and SNOW (sales turnover) web-apps.
■ Developed and still maintaining a multi-
   user, online Inquiry and Proforma Invoice
   Generation system using Excel365.
■ Provision of Hosting and Email services.
■ Management, Administration, Production,
   Sales &amp; Marketing, After-Sales Services,
   Product Design and Development.
■ Worked with and managed 50+ personnel.</t>
  </si>
  <si>
    <t>Renewable Energy Provider -
• Solar Photo Voltaics
• Solar Hotwater Systems</t>
  </si>
  <si>
    <t>• CI/CD (Vercel/Netlify)</t>
  </si>
  <si>
    <r>
      <rPr>
        <b/>
        <i/>
        <sz val="8"/>
        <color theme="5" tint="-0.24994659260841701"/>
        <rFont val="Arial"/>
        <family val="2"/>
      </rPr>
      <t>1987 - 1999</t>
    </r>
    <r>
      <rPr>
        <b/>
        <sz val="10"/>
        <color theme="8" tint="-0.249977111117893"/>
        <rFont val="Arial"/>
        <family val="2"/>
      </rPr>
      <t xml:space="preserve">
Past Experiences</t>
    </r>
    <r>
      <rPr>
        <i/>
        <sz val="8"/>
        <color theme="8" tint="-0.249977111117893"/>
        <rFont val="Arial"/>
        <family val="2"/>
      </rPr>
      <t xml:space="preserve">
Sri Lanka and Middle East</t>
    </r>
  </si>
  <si>
    <t>• (DE) German  - A2~B1</t>
  </si>
  <si>
    <t>Year 13 - "A" Levels (Science/Maths)</t>
  </si>
  <si>
    <t>Year 10 - "O" Levels (8-Subjects)</t>
  </si>
  <si>
    <t>QUALIFICATIONS &amp; EDUCATION</t>
  </si>
  <si>
    <r>
      <rPr>
        <b/>
        <i/>
        <sz val="8"/>
        <color theme="5" tint="-0.24994659260841701"/>
        <rFont val="Arial"/>
        <family val="2"/>
      </rPr>
      <t>11.2022 - Present</t>
    </r>
    <r>
      <rPr>
        <b/>
        <sz val="10"/>
        <color theme="8" tint="-0.249977111117893"/>
        <rFont val="Arial"/>
        <family val="2"/>
      </rPr>
      <t xml:space="preserve">
University of Moratuwa</t>
    </r>
    <r>
      <rPr>
        <b/>
        <i/>
        <sz val="8"/>
        <color theme="5" tint="-0.24994659260841701"/>
        <rFont val="Arial"/>
        <family val="2"/>
      </rPr>
      <t xml:space="preserve">
</t>
    </r>
    <r>
      <rPr>
        <i/>
        <sz val="8"/>
        <color theme="8" tint="-0.249977111117893"/>
        <rFont val="Arial"/>
        <family val="2"/>
      </rPr>
      <t>Colombo, Sri Lanka</t>
    </r>
  </si>
  <si>
    <t>Full-Stack Developer Online Course</t>
  </si>
  <si>
    <t>■ Front- and Back-end Web Development 
■ Python Programming</t>
  </si>
  <si>
    <t xml:space="preserve">DE: Aufenthaltstitel </t>
  </si>
  <si>
    <t>(EU-wide work permitted)</t>
  </si>
  <si>
    <t xml:space="preserve">Semmelbergstr., 14, </t>
  </si>
  <si>
    <t>English: Native</t>
  </si>
  <si>
    <t>83707 Bad Wiessee, Deutschland</t>
  </si>
  <si>
    <t>German:  B1</t>
  </si>
  <si>
    <t>• Node.JS (EXPRESS)</t>
  </si>
  <si>
    <t>• MySQL</t>
  </si>
  <si>
    <t>• JavaScript (REACT)</t>
  </si>
  <si>
    <t>• PostgreSQL</t>
  </si>
  <si>
    <t>• CI/CD</t>
  </si>
  <si>
    <t>• Jira</t>
  </si>
  <si>
    <t>• Communication  • Collaboration/Teamwork  • Problem-solving  • Attention to detail  • Independent work</t>
  </si>
  <si>
    <t>Profile</t>
  </si>
  <si>
    <r>
      <t xml:space="preserve">Full Stack Developer - </t>
    </r>
    <r>
      <rPr>
        <i/>
        <sz val="11"/>
        <color theme="1"/>
        <rFont val="Calibri"/>
        <family val="2"/>
        <scheme val="minor"/>
      </rPr>
      <t>Angular/JQuery/Python</t>
    </r>
  </si>
  <si>
    <r>
      <t xml:space="preserve">University of Moratuwa - </t>
    </r>
    <r>
      <rPr>
        <i/>
        <sz val="10"/>
        <color theme="1"/>
        <rFont val="Calibri"/>
        <family val="2"/>
        <scheme val="minor"/>
      </rPr>
      <t>Colombo, 2022/present</t>
    </r>
  </si>
  <si>
    <t>http://www.linkedin.com/in/victor-r-wright</t>
  </si>
  <si>
    <t>Full Stack Web &amp; App Development</t>
  </si>
  <si>
    <r>
      <t xml:space="preserve">WBS Coding School - </t>
    </r>
    <r>
      <rPr>
        <i/>
        <sz val="10"/>
        <color theme="1"/>
        <rFont val="Calibri"/>
        <family val="2"/>
        <scheme val="minor"/>
      </rPr>
      <t>Berlin, 2021/2022</t>
    </r>
  </si>
  <si>
    <t>http://www.wrightsdesk.com</t>
  </si>
  <si>
    <r>
      <t xml:space="preserve">General Certificate of Education "Advance" </t>
    </r>
    <r>
      <rPr>
        <sz val="11"/>
        <color theme="1"/>
        <rFont val="Calibri"/>
        <family val="2"/>
        <scheme val="minor"/>
      </rPr>
      <t>-</t>
    </r>
    <r>
      <rPr>
        <i/>
        <sz val="11"/>
        <color theme="1"/>
        <rFont val="Calibri"/>
        <family val="2"/>
        <scheme val="minor"/>
      </rPr>
      <t xml:space="preserve"> Year 13</t>
    </r>
  </si>
  <si>
    <r>
      <t xml:space="preserve">Maris Stella College - </t>
    </r>
    <r>
      <rPr>
        <i/>
        <sz val="10"/>
        <color theme="1"/>
        <rFont val="Calibri"/>
        <family val="2"/>
        <scheme val="minor"/>
      </rPr>
      <t>Sri Lanka, 1975/1987</t>
    </r>
  </si>
  <si>
    <t>Work Experience</t>
  </si>
  <si>
    <t>9/2020 - current</t>
  </si>
  <si>
    <t>WEB &amp; APP DEVELOPER, IT CONSULTANT &amp; SUPPORT</t>
  </si>
  <si>
    <t>Freelancer (Online / Germany)</t>
  </si>
  <si>
    <t>•</t>
  </si>
  <si>
    <t>Apps &amp; Websites, Web Hosting/Email services, Network &amp; Hardware support, Wifi/Router</t>
  </si>
  <si>
    <t>setup, Graphic Designing, Advanced Excel/MSO365, English writing/proofing.</t>
  </si>
  <si>
    <t>7/2001 - 8/2020</t>
  </si>
  <si>
    <t>GENERAL MANAGER</t>
  </si>
  <si>
    <t>JFA - Renewable Energy Div. (Sri Lanka)</t>
  </si>
  <si>
    <t xml:space="preserve">Handling all software, hardware, network, web, installation, setup. </t>
  </si>
  <si>
    <t>Developing the company website and web-apps.</t>
  </si>
  <si>
    <t>Developed and currently maintaining a data-driven, multi-user, Inquiries and Proforma</t>
  </si>
  <si>
    <t>system using Excel365 online.</t>
  </si>
  <si>
    <t xml:space="preserve">In addition was overall in charge of Management, Product Development, Manufacture, </t>
  </si>
  <si>
    <t>Import/Exports, Sales and Marketing of Solar Renewable Energy products.</t>
  </si>
  <si>
    <t>Projects/Samples</t>
  </si>
  <si>
    <t>https://vrw-gh.github.io/jfalanka</t>
  </si>
  <si>
    <t>: PHP / HTML / CSS / MySQL (incl. web-hosting &amp; services)</t>
  </si>
  <si>
    <t>https://vrw-gh.github.io/drmuellers1969</t>
  </si>
  <si>
    <t>: JS-React / HTML5 / CSS3, self-made carousel &amp; slider</t>
  </si>
  <si>
    <t>: JS-React / HTML5 / CSS3, with PHP emailer API</t>
  </si>
  <si>
    <t>https://vrw-gh.github.io/WD-Home</t>
  </si>
  <si>
    <t>: PHP / HTML / CSS / MySQL (experimental)</t>
  </si>
  <si>
    <t>: JS-React / HTML5 / CSS3 - shared project</t>
  </si>
  <si>
    <t>: Node.JS-Express / PostgreSQL RESTful API</t>
  </si>
  <si>
    <t>. . . . . . . . . . . . . . . . . . . . . . . . .</t>
  </si>
  <si>
    <t xml:space="preserve">Victor Wright     </t>
  </si>
  <si>
    <t xml:space="preserve">Semmelbergstr. 14, </t>
  </si>
  <si>
    <t xml:space="preserve">••• HTML5 / CSS3 </t>
  </si>
  <si>
    <t>•• Node.JS (EXPRESS)</t>
  </si>
  <si>
    <t>••• MySQL</t>
  </si>
  <si>
    <t>••• Git (GitHub)</t>
  </si>
  <si>
    <t xml:space="preserve">••• Javascript / React  </t>
  </si>
  <si>
    <t>••• REST API / JSON</t>
  </si>
  <si>
    <t>•• PostgreSQL</t>
  </si>
  <si>
    <t>•• CI/CD</t>
  </si>
  <si>
    <t>•• Vue, TypeScript</t>
  </si>
  <si>
    <t>••• PHP</t>
  </si>
  <si>
    <t>• Jquery, Angular</t>
  </si>
  <si>
    <t>•• Apache Server</t>
  </si>
  <si>
    <t>•• WordPress</t>
  </si>
  <si>
    <t>••• Communication  ••• Problem-solving  ••• Independent  ••• Attention to detail  •• Teamwork  •• Creative</t>
  </si>
  <si>
    <t>Sample Projects (GitHub Portfolio)</t>
  </si>
  <si>
    <t>https://vrw-gh.github.io/gotq-spa</t>
  </si>
  <si>
    <t>: JS-VUE / TS / HTML / SCSS - Skill test project</t>
  </si>
  <si>
    <t>https://vrw-gh.github.io/php-emailer/</t>
  </si>
  <si>
    <t>: PHP Emailer-API (Self-hosted)</t>
  </si>
  <si>
    <t>: PHP / HTML / CSS / MySQL (experimental tech)</t>
  </si>
  <si>
    <t>: JS-REACT / HTML5 / CSS3 - shared project</t>
  </si>
  <si>
    <t>http://vrw-gh.github.io/sharemyfood-backend</t>
  </si>
  <si>
    <t>Online Profiles</t>
  </si>
  <si>
    <t>Qualifications</t>
  </si>
  <si>
    <r>
      <rPr>
        <b/>
        <i/>
        <sz val="11"/>
        <color theme="1"/>
        <rFont val="Calibri"/>
        <family val="2"/>
        <scheme val="minor"/>
      </rPr>
      <t>Projects:</t>
    </r>
    <r>
      <rPr>
        <i/>
        <sz val="11"/>
        <color theme="1"/>
        <rFont val="Calibri"/>
        <family val="2"/>
        <scheme val="minor"/>
      </rPr>
      <t xml:space="preserve"> (see links above)</t>
    </r>
  </si>
  <si>
    <t>Developing the company website and web-apps - jfalanka.com &amp; sub-sites</t>
  </si>
  <si>
    <t>Bad Wiessee,</t>
  </si>
  <si>
    <t>♦ Communication  ♦ Teamwork  ♦ Problem-solving  ♦ Independent  ♦ Attention to detail</t>
  </si>
  <si>
    <r>
      <t xml:space="preserve">Victor Wright    </t>
    </r>
    <r>
      <rPr>
        <b/>
        <sz val="16"/>
        <color theme="8" tint="-0.24994659260841701"/>
        <rFont val="Arial"/>
        <family val="2"/>
      </rPr>
      <t xml:space="preserve">Programmer / Developer  </t>
    </r>
  </si>
  <si>
    <t>HTML5/CSS3 ••••</t>
  </si>
  <si>
    <t>Node.JS/Express •••</t>
  </si>
  <si>
    <t>PHP ••••</t>
  </si>
  <si>
    <t xml:space="preserve">MySQL/PostgreSQL ••• </t>
  </si>
  <si>
    <t>Javascript/React  ••••</t>
  </si>
  <si>
    <t>REST API/JSON •••</t>
  </si>
  <si>
    <t>WordPress •••</t>
  </si>
  <si>
    <t xml:space="preserve">MongoDB • </t>
  </si>
  <si>
    <t>Vue, TypeScript ••</t>
  </si>
  <si>
    <t>Git/GitHub ••••</t>
  </si>
  <si>
    <t>Apache Server ••</t>
  </si>
  <si>
    <t xml:space="preserve">Figma • </t>
  </si>
  <si>
    <t>JQuery, Angular •</t>
  </si>
  <si>
    <t>CI&amp;CD ••</t>
  </si>
  <si>
    <t xml:space="preserve">C++ • </t>
  </si>
  <si>
    <t xml:space="preserve">Jira • </t>
  </si>
  <si>
    <t>Communication  |  Teamwork  |  Problem-solving  |  Independent  |  Attention to detail  |  Design-conscious</t>
  </si>
  <si>
    <t>English - Native  |  German - B1</t>
  </si>
  <si>
    <t>JS-VUE / TS / HTML / SCSS - a skills-test project</t>
  </si>
  <si>
    <t>PHP / HTML / CSS / MySQL (incl. web-hosting &amp; services)</t>
  </si>
  <si>
    <t>PHP Emailer-API (Self-hosted)</t>
  </si>
  <si>
    <t>JS-React / HTML5 / CSS3, with self-made carousel &amp; slider</t>
  </si>
  <si>
    <t>JS-React / HTML5 / CSS3, with PHP emailer API</t>
  </si>
  <si>
    <t>PHP / HTML / CSS / MySQL (including experimental tech &amp; AI)</t>
  </si>
  <si>
    <t>JS-REACT / HTML5 / CSS3 - a FullStack (PERN) Project</t>
  </si>
  <si>
    <t xml:space="preserve">Node.JS-Express / PostgreSQL - a RESTful API backend </t>
  </si>
  <si>
    <r>
      <t xml:space="preserve">University of Moratuwa - </t>
    </r>
    <r>
      <rPr>
        <i/>
        <sz val="10"/>
        <color theme="1"/>
        <rFont val="Calibri"/>
        <family val="2"/>
        <scheme val="minor"/>
      </rPr>
      <t>Colombo, 2022-2023</t>
    </r>
  </si>
  <si>
    <r>
      <t xml:space="preserve">WBS Coding School - </t>
    </r>
    <r>
      <rPr>
        <i/>
        <sz val="10"/>
        <color theme="1"/>
        <rFont val="Calibri"/>
        <family val="2"/>
        <scheme val="minor"/>
      </rPr>
      <t>Berlin, Sep.2021-Jan.2022</t>
    </r>
  </si>
  <si>
    <r>
      <t xml:space="preserve">Maris Stella College - </t>
    </r>
    <r>
      <rPr>
        <i/>
        <sz val="10"/>
        <color theme="1"/>
        <rFont val="Calibri"/>
        <family val="2"/>
        <scheme val="minor"/>
      </rPr>
      <t>Sri Lanka, 1975-1987</t>
    </r>
  </si>
  <si>
    <t>FREELANCE WEB &amp; APP DEVELOPER, IT CONSULTANT &amp; SUPPORT (Germany)</t>
  </si>
  <si>
    <t>Feb 2024 - present</t>
  </si>
  <si>
    <t xml:space="preserve">IGNIDENT GmbH </t>
  </si>
  <si>
    <t>Website Development (WordPress)</t>
  </si>
  <si>
    <t>Sep 2020 - ongoing</t>
  </si>
  <si>
    <t>JFA - (Sri Lanka)</t>
  </si>
  <si>
    <t>Website Development (PHP), additional website development consultation,  ISP services</t>
  </si>
  <si>
    <t>Excel365 based Inquiry Management System,</t>
  </si>
  <si>
    <t>GENERAL MANAGER (Sri Lanka)</t>
  </si>
  <si>
    <t xml:space="preserve">JFA - Renewable Energy Div. </t>
  </si>
  <si>
    <r>
      <rPr>
        <b/>
        <sz val="10"/>
        <color theme="0"/>
        <rFont val="Webdings"/>
        <family val="1"/>
        <charset val="2"/>
      </rPr>
      <t>ï</t>
    </r>
    <r>
      <rPr>
        <b/>
        <i/>
        <sz val="10"/>
        <color theme="0"/>
        <rFont val="Arial Nova"/>
        <family val="2"/>
      </rPr>
      <t xml:space="preserve">   C o d i n g   f o r   t h e   F u t u r e   w i t h   t h e   W r i g h t   M i n d s e t   </t>
    </r>
    <r>
      <rPr>
        <b/>
        <sz val="10"/>
        <color theme="0"/>
        <rFont val="Webdings"/>
        <family val="1"/>
        <charset val="2"/>
      </rPr>
      <t>ð</t>
    </r>
  </si>
  <si>
    <t>Semmelbergstr. 14, 
83707 Bad Wiessee, DE</t>
  </si>
  <si>
    <r>
      <t>nnn</t>
    </r>
    <r>
      <rPr>
        <sz val="11"/>
        <color theme="0" tint="-0.14999847407452621"/>
        <rFont val="Wingdings"/>
        <charset val="2"/>
      </rPr>
      <t>nn</t>
    </r>
  </si>
  <si>
    <t>PHP,     Javascript/React,     Node.JS/Express,     HTML5/CSS3,     WordPress,</t>
  </si>
  <si>
    <t>MySQL/PostgreSQL,     Git/GitHub,     CI/CD,     RESTful APIs,     JSON,     Headless CMS</t>
  </si>
  <si>
    <r>
      <t>nn</t>
    </r>
    <r>
      <rPr>
        <sz val="11"/>
        <color theme="0" tint="-0.14999847407452621"/>
        <rFont val="Wingdings"/>
        <charset val="2"/>
      </rPr>
      <t>nnn</t>
    </r>
  </si>
  <si>
    <t>Apache Server,     Vue,     TypeScript,     CorelDraw/Illustrator,   MS Office 365</t>
  </si>
  <si>
    <r>
      <t>n</t>
    </r>
    <r>
      <rPr>
        <sz val="11"/>
        <color theme="0" tint="-0.14999847407452621"/>
        <rFont val="Wingdings"/>
        <charset val="2"/>
      </rPr>
      <t>nnnn</t>
    </r>
  </si>
  <si>
    <t>Bootstrap,     jQuery,     Angular,     MongoDB,     Figma,     Jira,     Python,     C++</t>
  </si>
  <si>
    <t>Communication,    Teamwork,    Maths &amp; Logic,    Problem-solving,    Independent,    Flexible,</t>
  </si>
  <si>
    <t>UI/UX-conscious,    Creative,    Attention to detail,   English (Native)  &amp;  German (B1)</t>
  </si>
  <si>
    <t>Projects  Portfolio</t>
  </si>
  <si>
    <t>https://vrw-gh.github.io/ignident/</t>
  </si>
  <si>
    <t>WORDPRESS - website update project (with ActiveCampaign)</t>
  </si>
  <si>
    <t>PHP / HTML / CSS / MySQL (incl. experimental tech &amp; AI-bot)</t>
  </si>
  <si>
    <r>
      <t>since Sep 2020</t>
    </r>
    <r>
      <rPr>
        <i/>
        <sz val="11"/>
        <color theme="1"/>
        <rFont val="Calibri"/>
        <family val="2"/>
        <scheme val="minor"/>
      </rPr>
      <t xml:space="preserve"> (Germany)</t>
    </r>
  </si>
  <si>
    <t>Freelance: IT Support and Website Updates</t>
  </si>
  <si>
    <t>Website Development (WordPress), Cybersecurity, Sharepoint, Webapps.</t>
  </si>
  <si>
    <t>Freelance: IT Support, Website Updates, Web Hosting &amp; Email services</t>
  </si>
  <si>
    <t xml:space="preserve">Website Development (PHP), Excel-online based Inquiry Management System, </t>
  </si>
  <si>
    <t>Hosting and Email services, IT, Web-Dev and Management consultation</t>
  </si>
  <si>
    <r>
      <t>up to Aug 2020</t>
    </r>
    <r>
      <rPr>
        <b/>
        <i/>
        <sz val="11"/>
        <color theme="1"/>
        <rFont val="Calibri"/>
        <family val="2"/>
        <scheme val="minor"/>
      </rPr>
      <t xml:space="preserve"> </t>
    </r>
    <r>
      <rPr>
        <i/>
        <sz val="11"/>
        <color theme="1"/>
        <rFont val="Calibri"/>
        <family val="2"/>
        <scheme val="minor"/>
      </rPr>
      <t>(Sri Lanka)</t>
    </r>
  </si>
  <si>
    <t>General Manager and overall IT Support Role</t>
  </si>
  <si>
    <t>Jul 2001 - Aug 2020</t>
  </si>
  <si>
    <t xml:space="preserve">Handling all web, software, hardware, network, installation, setup. </t>
  </si>
  <si>
    <t>Leading Manufacturer and Supplier of Solar Renewable Energy Products and Services</t>
  </si>
  <si>
    <t>Developing the company website and web-apps - jfalanka.com &amp; sub-sites.</t>
  </si>
  <si>
    <t xml:space="preserve">Developed and currently maintaining a data-driven, multi-user, Inquiries </t>
  </si>
  <si>
    <t>and Proforma system using Excel online.</t>
  </si>
  <si>
    <t xml:space="preserve">In addition was overall in charge of Management, Product Development, </t>
  </si>
  <si>
    <t>Manufacture, Import/Exports, Sales and Marketing.</t>
  </si>
  <si>
    <r>
      <t>Full Stack Web &amp; App Development -</t>
    </r>
    <r>
      <rPr>
        <i/>
        <sz val="11"/>
        <color theme="1"/>
        <rFont val="Calibri"/>
        <family val="2"/>
        <scheme val="minor"/>
      </rPr>
      <t xml:space="preserve"> P.E.R.N. Stack</t>
    </r>
  </si>
  <si>
    <r>
      <t xml:space="preserve">General Certificate of Education "Advance Level" </t>
    </r>
    <r>
      <rPr>
        <sz val="11"/>
        <color theme="1"/>
        <rFont val="Calibri"/>
        <family val="2"/>
        <scheme val="minor"/>
      </rPr>
      <t>-</t>
    </r>
    <r>
      <rPr>
        <i/>
        <sz val="11"/>
        <color theme="1"/>
        <rFont val="Calibri"/>
        <family val="2"/>
        <scheme val="minor"/>
      </rPr>
      <t xml:space="preserve"> Year 13</t>
    </r>
  </si>
  <si>
    <t xml:space="preserve">Victor Randolph Wright </t>
  </si>
  <si>
    <t>Full Stack Developer - Software Entwickler</t>
  </si>
  <si>
    <t>Telephone</t>
  </si>
  <si>
    <t>(+49) 17646774278</t>
  </si>
  <si>
    <t>Email</t>
  </si>
  <si>
    <t>Address</t>
  </si>
  <si>
    <t>Semmelbergstr. 14, 83707 Bad Wiessee, Germany.</t>
  </si>
  <si>
    <t>Core Tech</t>
  </si>
  <si>
    <t>JavaScript: React/Vue/TS  │  Node: Express  │  HTML  │  CSS  │  PHP  │  WordPress  │  SQL</t>
  </si>
  <si>
    <t>Knowledge Pool</t>
  </si>
  <si>
    <t>JSON, RESTful APIs, MySQL/PostgreSQL, Symfony: Twig/Tailwind, Bootstrap,</t>
  </si>
  <si>
    <t xml:space="preserve">Git/GitHub, CI/CD, Server Admin (Apache), Headless CMS,  jQuery, Angular, Figma, </t>
  </si>
  <si>
    <t>Hosting &amp; Email services, Excel expert, English writing/proofing, CorelDraw/Illustrator</t>
  </si>
  <si>
    <t>Communication, Teamwork, Problem-solving, Independent, Flexible, Creative,</t>
  </si>
  <si>
    <t>UI/UX-aware, Excellent maths &amp; logic skills, Quick learning, English (Native), German (B1)</t>
  </si>
  <si>
    <t>Projects Portfolio</t>
  </si>
  <si>
    <t>https://wrightelement.github.io/TalkAboutStuff/</t>
  </si>
  <si>
    <t>Hobby project - Symfony, Tailwind</t>
  </si>
  <si>
    <t>https://vrw-gh.github.io/ignident</t>
  </si>
  <si>
    <t>Customer website - WordPress</t>
  </si>
  <si>
    <t xml:space="preserve">Hobby project - Vue, Typescript, SCSS </t>
  </si>
  <si>
    <t>Customer site - PHP, MySQL (+web-hosting/email)</t>
  </si>
  <si>
    <t>https://vrw-gh.github.io/php-emailer</t>
  </si>
  <si>
    <t>Backend service - PHP Emailer-API (Self-hosted)</t>
  </si>
  <si>
    <t>Customer front-end - React, HTML5, CSS3</t>
  </si>
  <si>
    <t>Customer landing page - React, HTML, CSS, emailer</t>
  </si>
  <si>
    <t>Personal Portfolio - PHP, HTML, CSS, MySQL, AI-bot</t>
  </si>
  <si>
    <t>Full-Stack web app - P.E.R.N. stack</t>
  </si>
  <si>
    <t>Backend service - Rest-API, Node, PostgreSQL</t>
  </si>
  <si>
    <t>Experience</t>
  </si>
  <si>
    <t>Freelancer/Developer, Germany - since 2020.08</t>
  </si>
  <si>
    <t>since 2024.03:</t>
  </si>
  <si>
    <t>IGNIDENT GmbH</t>
  </si>
  <si>
    <t>Website remake (WordPress), IT Support (Sharepoint, MSOffice365 -</t>
  </si>
  <si>
    <t>admin, Cybersecurity, ActiveCampaign), Video-editing</t>
  </si>
  <si>
    <t>On-demand:</t>
  </si>
  <si>
    <t>Private projects</t>
  </si>
  <si>
    <t>Websites, Excel Worksheets, IT Consultancy, Hardware support</t>
  </si>
  <si>
    <t>On-going:</t>
  </si>
  <si>
    <t xml:space="preserve">Home Page (PHP/MySQL), Online Inquiry System (Excel365), </t>
  </si>
  <si>
    <t>Hosting and Email services, Docs &amp; Spreadsheets, General IT Support</t>
  </si>
  <si>
    <t>IT + Management, Sri Lanka - 2001.07 to 2020.07</t>
  </si>
  <si>
    <r>
      <rPr>
        <b/>
        <i/>
        <sz val="10"/>
        <color theme="1"/>
        <rFont val="Aptos Narrow"/>
        <family val="2"/>
      </rPr>
      <t xml:space="preserve">IT infrastructure </t>
    </r>
    <r>
      <rPr>
        <i/>
        <sz val="10"/>
        <color theme="1"/>
        <rFont val="Aptos Narrow"/>
        <family val="2"/>
      </rPr>
      <t xml:space="preserve">- software, hardware, web, network, installation, setup </t>
    </r>
  </si>
  <si>
    <t xml:space="preserve">Developing the website and inhouse software (Visual FoxPro); automated worksheets </t>
  </si>
  <si>
    <t>for production, services, stores, logistics, and accounting; general documents.</t>
  </si>
  <si>
    <r>
      <rPr>
        <b/>
        <i/>
        <sz val="10"/>
        <color theme="1"/>
        <rFont val="Aptos Narrow"/>
        <family val="2"/>
      </rPr>
      <t xml:space="preserve">General Manager </t>
    </r>
    <r>
      <rPr>
        <i/>
        <sz val="10"/>
        <color theme="1"/>
        <rFont val="Aptos Narrow"/>
        <family val="2"/>
      </rPr>
      <t>- Manufacture, instalation &amp; services of Solar Hotwater and PV Systems,</t>
    </r>
  </si>
  <si>
    <t>Research and Development, Production, Client Support, Import/Export, Sales and Marketing.</t>
  </si>
  <si>
    <r>
      <t xml:space="preserve">Full Stack Development (Distance Learning) - </t>
    </r>
    <r>
      <rPr>
        <b/>
        <sz val="11"/>
        <color theme="1"/>
        <rFont val="Aptos Display"/>
        <family val="2"/>
      </rPr>
      <t>University of Moratuwa, Colombo</t>
    </r>
    <r>
      <rPr>
        <sz val="11"/>
        <color theme="1"/>
        <rFont val="Aptos Display"/>
        <family val="2"/>
      </rPr>
      <t>, 2022-2023</t>
    </r>
  </si>
  <si>
    <t>&amp; Education</t>
  </si>
  <si>
    <r>
      <t xml:space="preserve">Full Stack Web &amp; App Development - </t>
    </r>
    <r>
      <rPr>
        <b/>
        <sz val="11"/>
        <color theme="1"/>
        <rFont val="Aptos Display"/>
        <family val="2"/>
      </rPr>
      <t>WBS Coding School, Berlin</t>
    </r>
    <r>
      <rPr>
        <sz val="11"/>
        <color theme="1"/>
        <rFont val="Aptos Display"/>
        <family val="2"/>
      </rPr>
      <t>, Sep.2021-Jan.2022</t>
    </r>
  </si>
  <si>
    <t>School Graduation (Year 13/Advanced Level) - Maris Stella College, Sri Lanka, 1975-1987</t>
  </si>
  <si>
    <t>Web and Application Developer/Entwickler (Full Stack)</t>
  </si>
  <si>
    <t xml:space="preserve">                 Semmelbergstr.14, 83707 Bad Wiessee   •   📞 0176 4677 4278   •   ✉️ victor.wright@outlook.de</t>
  </si>
  <si>
    <t>With best regards,</t>
  </si>
  <si>
    <t>The Hiring Manager,</t>
  </si>
  <si>
    <t>Data:</t>
  </si>
  <si>
    <t>I am delighted to apply for the above vacancy at your company. As someone eager to contribute to impactful digital projects, I am particularly drawn to the opportunity to collaborate with experienced developers and consultants while honing my technical skills in an international remote setting.
With a strong foundation in technologies such as HTML, CSS, Javascript, React, Node, PHP, Wordpress and MySQL, I have developed responsive and user-friendly web applications and sites that emphasize both functionality and aesthetics. My familiarity with digital collaboration tools like GitHub, Figma, Trello and Jira has allowed me to work efficiently within teams, ensuring smooth development and communication processes.
Beyond my very passionate interest in digital technologies, an above-average technical proficiency, and a long-term background in the IT-field, I also bring an adaptable mindset, with a keen eye for detail, user experience, and fault-tolerancy. I love to deep-dive and use my past experience for problem-solving. I thrive in environments that encourage continuous learning, and I am eager to contribute creative ideas while enhancing my expertise in modern frontend development methodologies and frameworks.
I am highly motivated to support your mission of driving innovation and optimizing digital experiences. I would welcome the opportunity to discuss how my skills align with the company’s vision. 
Thank you for your time and consideration. I genuinely look forward to the possibility of joining your team, and I hope to hear from you in the very near future.
Wishing you and your team a nice day!</t>
  </si>
  <si>
    <t>&lt;&lt; check current date!</t>
  </si>
  <si>
    <t>&lt;&lt; check position, company etc!</t>
  </si>
  <si>
    <t>AllocNow GmbH</t>
  </si>
  <si>
    <t>Friedrich-Ebert-Strasse 17</t>
  </si>
  <si>
    <t>53177 Bonn</t>
  </si>
  <si>
    <t>Frontend Developer (Remote)</t>
  </si>
  <si>
    <t>Sir or Madam</t>
  </si>
  <si>
    <t>I am writing to express my interest in the above position at your company. With over two decades of experience in IT and software development—spanning both corporate and freelance environments—I bring a unique blend of hands-on technical expertise, creative problem-solving, and client-focused project delivery.
Since 2020, I have worked independently in Germany, contributing to web and application development projects across a range of technologies, including React, Vue, PHP, Node.js, and MySQL. My work with IGNIDENT GmbH involved not only a complete website remake using WordPress but also IT support across SharePoint, Office365, and cybersecurity—demonstrating my ability to integrate development with infrastructure and client support.
My portfolio showcases a diverse array of projects, from self-hosted backend services and P.E.R.N. stack web apps, to customer-facing interfaces built with modern frameworks. Each project reflects my commitment to clean code, intuitive user experiences, and scalable architecture. 
Please do view some of these at - https://vrw-gh.github.io/vrw-GH.
Beyond technical skills, I pride myself on being a flexible and creative team player. I'm fluent in English (mother-tongue) and conversationally proficient in German B1 (~B2), with excellent communication and documentation skills. My background also includes extensive experience in management and operations, which I believe adds strategic insight to my development work.
I am excited about the opportunity to contribute my full-stack capabilities, analytical mindset, and proactive attitude to your team. I would welcome the chance to discuss how my experience aligns with your goals.
Thank you for considering my application.</t>
  </si>
  <si>
    <r>
      <rPr>
        <b/>
        <sz val="11"/>
        <color theme="1"/>
        <rFont val="Aptos Display"/>
        <family val="2"/>
      </rPr>
      <t xml:space="preserve">Full Stack Web &amp; App Developer </t>
    </r>
    <r>
      <rPr>
        <sz val="11"/>
        <color theme="1"/>
        <rFont val="Aptos Display"/>
        <family val="2"/>
      </rPr>
      <t>- WBS Coding School,</t>
    </r>
    <r>
      <rPr>
        <b/>
        <sz val="11"/>
        <color theme="1"/>
        <rFont val="Aptos Display"/>
        <family val="2"/>
      </rPr>
      <t xml:space="preserve"> Berlin</t>
    </r>
    <r>
      <rPr>
        <sz val="11"/>
        <color theme="1"/>
        <rFont val="Aptos Display"/>
        <family val="2"/>
      </rPr>
      <t>, Sep.2021-Jan.2022</t>
    </r>
  </si>
  <si>
    <r>
      <rPr>
        <b/>
        <sz val="11"/>
        <color theme="1"/>
        <rFont val="Aptos Display"/>
        <family val="2"/>
      </rPr>
      <t xml:space="preserve">Front End Web Developer </t>
    </r>
    <r>
      <rPr>
        <sz val="11"/>
        <color theme="1"/>
        <rFont val="Aptos Display"/>
        <family val="2"/>
      </rPr>
      <t xml:space="preserve">- University of Moratuwa, </t>
    </r>
    <r>
      <rPr>
        <b/>
        <sz val="11"/>
        <color theme="1"/>
        <rFont val="Aptos Display"/>
        <family val="2"/>
      </rPr>
      <t>Sri Lanka</t>
    </r>
    <r>
      <rPr>
        <sz val="11"/>
        <color theme="1"/>
        <rFont val="Aptos Display"/>
        <family val="2"/>
      </rPr>
      <t>, 2022-2023</t>
    </r>
  </si>
  <si>
    <r>
      <rPr>
        <b/>
        <sz val="11"/>
        <color theme="1"/>
        <rFont val="Aptos Display"/>
        <family val="2"/>
      </rPr>
      <t xml:space="preserve">Graduation </t>
    </r>
    <r>
      <rPr>
        <sz val="11"/>
        <color theme="1"/>
        <rFont val="Aptos Display"/>
        <family val="2"/>
      </rPr>
      <t>(Year 13/Advanced Level) - Maris Stella College, Sri Lanka, 1975-1987</t>
    </r>
  </si>
  <si>
    <t>(+49) 176 4677 4278  / (+49) 176 65 887 884</t>
  </si>
  <si>
    <t>https://wrightsdesk.github.io/TalkAboutStuff/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</si>
</sst>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7]d/\ mmm/\ yyyy;@"/>
  </numFmts>
  <fonts count="119">
    <font>
      <sz val="11"/>
      <color theme="1"/>
      <name val="Calibri"/>
      <family val="2"/>
      <scheme val="minor"/>
    </font>
    <font>
      <sz val="11"/>
      <color theme="1"/>
      <name val="Arial"/>
      <family val="2"/>
    </font>
    <font>
      <sz val="10"/>
      <color theme="1"/>
      <name val="Times New Roman"/>
      <family val="1"/>
    </font>
    <font>
      <sz val="11"/>
      <color theme="1"/>
      <name val="Calibri"/>
      <family val="2"/>
    </font>
    <font>
      <sz val="10"/>
      <color theme="1"/>
      <name val="Arial"/>
      <family val="2"/>
    </font>
    <font>
      <b/>
      <sz val="20"/>
      <color theme="1"/>
      <name val="Arial"/>
      <family val="2"/>
    </font>
    <font>
      <b/>
      <sz val="16"/>
      <color rgb="FFFF0000"/>
      <name val="Arial"/>
      <family val="2"/>
    </font>
    <font>
      <sz val="10"/>
      <color rgb="FF000000"/>
      <name val="Arial"/>
      <family val="2"/>
    </font>
    <font>
      <sz val="10"/>
      <color theme="1"/>
      <name val="Wingdings"/>
      <charset val="2"/>
    </font>
    <font>
      <sz val="7"/>
      <color theme="1"/>
      <name val="Times New Roman"/>
      <family val="1"/>
    </font>
    <font>
      <b/>
      <sz val="10"/>
      <color theme="1"/>
      <name val="Arial"/>
      <family val="2"/>
    </font>
    <font>
      <b/>
      <sz val="10"/>
      <color rgb="FF943634"/>
      <name val="Arial"/>
      <family val="2"/>
    </font>
    <font>
      <b/>
      <sz val="10"/>
      <color rgb="FFFF0000"/>
      <name val="Arial"/>
      <family val="2"/>
    </font>
    <font>
      <sz val="10"/>
      <color rgb="FF7F7F7F"/>
      <name val="Courier New"/>
      <family val="3"/>
    </font>
    <font>
      <i/>
      <sz val="9"/>
      <color theme="1"/>
      <name val="Arial"/>
      <family val="2"/>
    </font>
    <font>
      <sz val="9"/>
      <color theme="1"/>
      <name val="Arial"/>
      <family val="2"/>
    </font>
    <font>
      <i/>
      <sz val="10"/>
      <color theme="1"/>
      <name val="Arial"/>
      <family val="2"/>
    </font>
    <font>
      <b/>
      <i/>
      <sz val="9"/>
      <color theme="1"/>
      <name val="Arial"/>
      <family val="2"/>
    </font>
    <font>
      <i/>
      <sz val="9"/>
      <color rgb="FFFF0000"/>
      <name val="Arial"/>
      <family val="2"/>
    </font>
    <font>
      <sz val="10"/>
      <color theme="1"/>
      <name val="Symbol"/>
      <family val="1"/>
      <charset val="2"/>
    </font>
    <font>
      <i/>
      <sz val="10"/>
      <color rgb="FFFF0000"/>
      <name val="Arial"/>
      <family val="2"/>
    </font>
    <font>
      <i/>
      <u/>
      <sz val="10"/>
      <color rgb="FFFF0000"/>
      <name val="Arial"/>
      <family val="2"/>
    </font>
    <font>
      <u/>
      <sz val="11"/>
      <color theme="10"/>
      <name val="Calibri"/>
      <family val="2"/>
      <scheme val="minor"/>
    </font>
    <font>
      <u/>
      <sz val="10"/>
      <color theme="10"/>
      <name val="Calibri"/>
      <family val="2"/>
      <scheme val="minor"/>
    </font>
    <font>
      <sz val="10"/>
      <name val="Arial"/>
      <family val="2"/>
    </font>
    <font>
      <sz val="10"/>
      <color rgb="FF7F7F7F"/>
      <name val="Arial"/>
      <family val="2"/>
    </font>
    <font>
      <sz val="10"/>
      <color rgb="FFFF0000"/>
      <name val="Arial"/>
      <family val="2"/>
    </font>
    <font>
      <sz val="10"/>
      <color rgb="FF943634"/>
      <name val="Arial"/>
      <family val="2"/>
    </font>
    <font>
      <b/>
      <sz val="11"/>
      <color theme="0"/>
      <name val="Calibri"/>
      <family val="2"/>
      <scheme val="minor"/>
    </font>
    <font>
      <sz val="11"/>
      <color theme="0"/>
      <name val="Calibri"/>
      <family val="2"/>
      <scheme val="minor"/>
    </font>
    <font>
      <b/>
      <sz val="10"/>
      <color theme="8" tint="-0.249977111117893"/>
      <name val="Arial"/>
      <family val="2"/>
    </font>
    <font>
      <i/>
      <sz val="8"/>
      <color theme="8" tint="-0.249977111117893"/>
      <name val="Arial"/>
      <family val="2"/>
    </font>
    <font>
      <sz val="11"/>
      <color theme="8" tint="-0.249977111117893"/>
      <name val="Calibri"/>
      <family val="2"/>
      <scheme val="minor"/>
    </font>
    <font>
      <b/>
      <sz val="11"/>
      <color theme="8" tint="-0.249977111117893"/>
      <name val="Calibri"/>
      <family val="2"/>
      <scheme val="minor"/>
    </font>
    <font>
      <i/>
      <sz val="9"/>
      <color theme="8" tint="-0.249977111117893"/>
      <name val="Calibri"/>
      <family val="2"/>
      <scheme val="minor"/>
    </font>
    <font>
      <sz val="10"/>
      <color theme="8" tint="-0.249977111117893"/>
      <name val="Arial"/>
      <family val="2"/>
    </font>
    <font>
      <i/>
      <sz val="10"/>
      <color theme="8" tint="-0.249977111117893"/>
      <name val="Arial"/>
      <family val="2"/>
    </font>
    <font>
      <b/>
      <sz val="11"/>
      <color theme="8" tint="-0.249977111117893"/>
      <name val="Arial"/>
      <family val="2"/>
    </font>
    <font>
      <sz val="9"/>
      <color theme="8" tint="-0.249977111117893"/>
      <name val="Arial"/>
      <family val="2"/>
    </font>
    <font>
      <b/>
      <sz val="24"/>
      <color theme="8" tint="-0.249977111117893"/>
      <name val="Arial"/>
      <family val="2"/>
    </font>
    <font>
      <b/>
      <sz val="18"/>
      <color rgb="FF00B0F0"/>
      <name val="Arial"/>
      <family val="2"/>
    </font>
    <font>
      <b/>
      <sz val="10"/>
      <color rgb="FF00B0F0"/>
      <name val="Arial"/>
      <family val="2"/>
    </font>
    <font>
      <u/>
      <sz val="10"/>
      <color rgb="FF00B0F0"/>
      <name val="Arial"/>
      <family val="2"/>
    </font>
    <font>
      <sz val="10"/>
      <color theme="2" tint="-9.9948118533890809E-2"/>
      <name val="Arial"/>
      <family val="2"/>
    </font>
    <font>
      <sz val="11"/>
      <color theme="8" tint="-0.24994659260841701"/>
      <name val="Calibri"/>
      <family val="2"/>
      <scheme val="minor"/>
    </font>
    <font>
      <b/>
      <sz val="10"/>
      <color theme="8"/>
      <name val="Arial"/>
      <family val="2"/>
    </font>
    <font>
      <sz val="10"/>
      <color theme="8"/>
      <name val="Arial"/>
      <family val="2"/>
    </font>
    <font>
      <i/>
      <sz val="10"/>
      <color theme="8"/>
      <name val="Arial"/>
      <family val="2"/>
    </font>
    <font>
      <i/>
      <sz val="9"/>
      <color theme="8" tint="-0.249977111117893"/>
      <name val="Arial"/>
      <family val="2"/>
    </font>
    <font>
      <b/>
      <sz val="9"/>
      <color theme="8" tint="-0.249977111117893"/>
      <name val="Arial"/>
      <family val="2"/>
    </font>
    <font>
      <b/>
      <sz val="10"/>
      <color theme="0"/>
      <name val="Arial"/>
      <family val="2"/>
    </font>
    <font>
      <sz val="11"/>
      <color rgb="FF00B0F0"/>
      <name val="Calibri"/>
      <family val="2"/>
      <scheme val="minor"/>
    </font>
    <font>
      <i/>
      <sz val="10"/>
      <color rgb="FF00B0F0"/>
      <name val="Arial"/>
      <family val="2"/>
    </font>
    <font>
      <i/>
      <sz val="11"/>
      <color rgb="FF00B0F0"/>
      <name val="Arial"/>
      <family val="2"/>
    </font>
    <font>
      <i/>
      <sz val="9"/>
      <color rgb="FF00B0F0"/>
      <name val="Arial"/>
      <family val="2"/>
    </font>
    <font>
      <i/>
      <u/>
      <sz val="10"/>
      <color rgb="FF00B0F0"/>
      <name val="Arial"/>
      <family val="2"/>
    </font>
    <font>
      <b/>
      <i/>
      <sz val="10"/>
      <color theme="8" tint="-0.24994659260841701"/>
      <name val="Arial"/>
      <family val="2"/>
    </font>
    <font>
      <i/>
      <sz val="11"/>
      <color theme="8" tint="-0.24994659260841701"/>
      <name val="Calibri"/>
      <family val="2"/>
      <scheme val="minor"/>
    </font>
    <font>
      <i/>
      <sz val="10"/>
      <color theme="8" tint="-0.24994659260841701"/>
      <name val="Arial"/>
      <family val="2"/>
    </font>
    <font>
      <i/>
      <sz val="11"/>
      <color theme="8" tint="-0.249977111117893"/>
      <name val="Calibri"/>
      <family val="2"/>
      <scheme val="minor"/>
    </font>
    <font>
      <b/>
      <i/>
      <sz val="8"/>
      <color theme="8" tint="-0.249977111117893"/>
      <name val="Arial"/>
      <family val="2"/>
    </font>
    <font>
      <b/>
      <i/>
      <sz val="8"/>
      <color theme="5" tint="-0.24994659260841701"/>
      <name val="Arial"/>
      <family val="2"/>
    </font>
    <font>
      <b/>
      <sz val="10"/>
      <color theme="5" tint="-0.24994659260841701"/>
      <name val="Arial"/>
      <family val="2"/>
    </font>
    <font>
      <sz val="11"/>
      <color theme="5" tint="-0.24994659260841701"/>
      <name val="Calibri"/>
      <family val="2"/>
      <scheme val="minor"/>
    </font>
    <font>
      <i/>
      <sz val="10"/>
      <color theme="5" tint="-0.24994659260841701"/>
      <name val="Arial"/>
      <family val="2"/>
    </font>
    <font>
      <b/>
      <i/>
      <sz val="10"/>
      <color theme="5" tint="-0.24994659260841701"/>
      <name val="Arial"/>
      <family val="2"/>
    </font>
    <font>
      <i/>
      <sz val="11"/>
      <color theme="5" tint="-0.24994659260841701"/>
      <name val="Calibri"/>
      <family val="2"/>
      <scheme val="minor"/>
    </font>
    <font>
      <b/>
      <sz val="11"/>
      <color theme="5" tint="-0.24994659260841701"/>
      <name val="Calibri"/>
      <family val="2"/>
      <scheme val="minor"/>
    </font>
    <font>
      <b/>
      <sz val="10"/>
      <color theme="0"/>
      <name val="Arial Nova"/>
      <family val="2"/>
    </font>
    <font>
      <b/>
      <i/>
      <sz val="8"/>
      <color theme="4" tint="-0.24994659260841701"/>
      <name val="Arial Nova"/>
      <family val="2"/>
    </font>
    <font>
      <b/>
      <i/>
      <sz val="8"/>
      <color rgb="FF00B0F0"/>
      <name val="Arial Nova"/>
      <family val="2"/>
    </font>
    <font>
      <b/>
      <i/>
      <u/>
      <sz val="8"/>
      <color theme="4" tint="-0.24994659260841701"/>
      <name val="Arial Nova"/>
      <family val="2"/>
    </font>
    <font>
      <b/>
      <i/>
      <u/>
      <sz val="10"/>
      <color theme="4" tint="-0.24994659260841701"/>
      <name val="Arial Nova"/>
      <family val="2"/>
    </font>
    <font>
      <b/>
      <sz val="11"/>
      <color theme="1"/>
      <name val="Calibri"/>
      <family val="2"/>
      <scheme val="minor"/>
    </font>
    <font>
      <i/>
      <sz val="11"/>
      <color theme="1"/>
      <name val="Calibri"/>
      <family val="2"/>
      <scheme val="minor"/>
    </font>
    <font>
      <i/>
      <sz val="10"/>
      <color theme="1"/>
      <name val="Calibri"/>
      <family val="2"/>
      <scheme val="minor"/>
    </font>
    <font>
      <sz val="11"/>
      <color theme="4" tint="-0.249977111117893"/>
      <name val="Calibri"/>
      <family val="2"/>
      <scheme val="minor"/>
    </font>
    <font>
      <b/>
      <sz val="18"/>
      <color theme="4" tint="-0.249977111117893"/>
      <name val="Arial"/>
      <family val="2"/>
    </font>
    <font>
      <sz val="11"/>
      <color rgb="FF0070C0"/>
      <name val="Calibri"/>
      <family val="2"/>
      <scheme val="minor"/>
    </font>
    <font>
      <sz val="11"/>
      <color theme="4" tint="-0.24994659260841701"/>
      <name val="Calibri"/>
      <family val="2"/>
      <scheme val="minor"/>
    </font>
    <font>
      <b/>
      <sz val="18"/>
      <color theme="4" tint="-0.24994659260841701"/>
      <name val="Arial"/>
      <family val="2"/>
    </font>
    <font>
      <i/>
      <sz val="11"/>
      <color theme="4" tint="-0.249977111117893"/>
      <name val="Calibri"/>
      <family val="2"/>
      <scheme val="minor"/>
    </font>
    <font>
      <b/>
      <i/>
      <sz val="11"/>
      <color theme="1"/>
      <name val="Calibri"/>
      <family val="2"/>
      <scheme val="minor"/>
    </font>
    <font>
      <b/>
      <i/>
      <sz val="18"/>
      <color theme="4" tint="-0.249977111117893"/>
      <name val="Arial"/>
      <family val="2"/>
    </font>
    <font>
      <b/>
      <sz val="24"/>
      <color rgb="FF0070C0"/>
      <name val="Arial"/>
      <family val="2"/>
    </font>
    <font>
      <b/>
      <sz val="11"/>
      <color theme="10"/>
      <name val="Calibri"/>
      <family val="2"/>
      <scheme val="minor"/>
    </font>
    <font>
      <b/>
      <sz val="11"/>
      <color rgb="FF0070C0"/>
      <name val="Calibri"/>
      <family val="2"/>
      <scheme val="minor"/>
    </font>
    <font>
      <b/>
      <sz val="26"/>
      <color theme="8" tint="-0.24994659260841701"/>
      <name val="Arial"/>
      <family val="2"/>
    </font>
    <font>
      <b/>
      <sz val="16"/>
      <color theme="8" tint="-0.24994659260841701"/>
      <name val="Arial"/>
      <family val="2"/>
    </font>
    <font>
      <sz val="11"/>
      <color theme="4"/>
      <name val="Wingdings"/>
      <charset val="2"/>
    </font>
    <font>
      <sz val="11"/>
      <color theme="4"/>
      <name val="Calibri"/>
      <family val="2"/>
      <scheme val="minor"/>
    </font>
    <font>
      <i/>
      <sz val="9"/>
      <color theme="1"/>
      <name val="Calibri"/>
      <family val="2"/>
      <scheme val="minor"/>
    </font>
    <font>
      <b/>
      <sz val="14"/>
      <color theme="0"/>
      <name val="Calibri"/>
      <family val="2"/>
      <scheme val="minor"/>
    </font>
    <font>
      <b/>
      <i/>
      <sz val="10"/>
      <color theme="0"/>
      <name val="Arial Nova"/>
      <family val="1"/>
      <charset val="2"/>
    </font>
    <font>
      <b/>
      <sz val="10"/>
      <color theme="0"/>
      <name val="Webdings"/>
      <family val="1"/>
      <charset val="2"/>
    </font>
    <font>
      <b/>
      <i/>
      <sz val="10"/>
      <color theme="0"/>
      <name val="Arial Nova"/>
      <family val="2"/>
    </font>
    <font>
      <sz val="11"/>
      <color theme="0" tint="-0.14999847407452621"/>
      <name val="Wingdings"/>
      <charset val="2"/>
    </font>
    <font>
      <sz val="10"/>
      <color theme="1"/>
      <name val="Arial Narrow"/>
      <family val="2"/>
    </font>
    <font>
      <b/>
      <sz val="11"/>
      <color theme="1"/>
      <name val="Aptos Display"/>
      <family val="2"/>
    </font>
    <font>
      <sz val="11"/>
      <color theme="1"/>
      <name val="Aptos Display"/>
      <family val="2"/>
    </font>
    <font>
      <sz val="10"/>
      <color theme="1"/>
      <name val="Aptos Display"/>
      <family val="2"/>
    </font>
    <font>
      <sz val="11"/>
      <color theme="4" tint="-0.249977111117893"/>
      <name val="Aptos Display"/>
      <family val="2"/>
    </font>
    <font>
      <b/>
      <u/>
      <sz val="11"/>
      <color theme="1"/>
      <name val="Aptos Display"/>
      <family val="2"/>
    </font>
    <font>
      <sz val="11"/>
      <color theme="10"/>
      <name val="Aptos Narrow"/>
      <family val="2"/>
    </font>
    <font>
      <i/>
      <sz val="10"/>
      <color theme="1"/>
      <name val="Aptos Narrow"/>
      <family val="2"/>
    </font>
    <font>
      <b/>
      <i/>
      <sz val="10"/>
      <color theme="1"/>
      <name val="Aptos Narrow"/>
      <family val="2"/>
    </font>
    <font>
      <b/>
      <sz val="16"/>
      <color theme="4" tint="-0.249977111117893"/>
      <name val="Aptos SemiBold"/>
      <family val="2"/>
    </font>
    <font>
      <b/>
      <sz val="12"/>
      <color theme="4" tint="-0.249977111117893"/>
      <name val="Aptos SemiBold"/>
      <family val="2"/>
    </font>
    <font>
      <sz val="11"/>
      <color theme="1"/>
      <name val="Aptos"/>
      <family val="2"/>
    </font>
    <font>
      <sz val="11"/>
      <color theme="1"/>
      <name val="Aptos Narrow"/>
      <family val="2"/>
    </font>
    <font>
      <sz val="11"/>
      <color theme="4" tint="-0.249977111117893"/>
      <name val="Aptos Narrow"/>
      <family val="2"/>
    </font>
    <font>
      <i/>
      <sz val="9"/>
      <color theme="1"/>
      <name val="Aptos Narrow"/>
      <family val="2"/>
    </font>
    <font>
      <b/>
      <sz val="11"/>
      <color theme="1"/>
      <name val="Aptos"/>
      <family val="2"/>
    </font>
    <font>
      <b/>
      <sz val="11"/>
      <color theme="10"/>
      <name val="Aptos Narrow"/>
      <family val="2"/>
    </font>
    <font>
      <sz val="9"/>
      <color theme="8" tint="0.39997558519241921"/>
      <name val="Calibri"/>
      <family val="2"/>
      <scheme val="minor"/>
    </font>
    <font>
      <i/>
      <sz val="11"/>
      <color theme="1"/>
      <name val="Aptos"/>
      <family val="2"/>
    </font>
    <font>
      <i/>
      <sz val="9"/>
      <color theme="1"/>
      <name val="Aptos"/>
      <family val="2"/>
    </font>
    <font>
      <b/>
      <u/>
      <sz val="11"/>
      <color theme="1"/>
      <name val="Calibri"/>
      <family val="2"/>
      <scheme val="minor"/>
    </font>
    <font>
      <sz val="11"/>
      <color theme="1"/>
      <name val="Segoe UI"/>
      <family val="2"/>
    </font>
  </fonts>
  <fills count="25">
    <fill>
      <patternFill patternType="none"/>
    </fill>
    <fill>
      <patternFill patternType="gray125"/>
    </fill>
    <fill>
      <gradientFill degree="180">
        <stop position="0">
          <color theme="0"/>
        </stop>
        <stop position="1">
          <color theme="4" tint="0.59999389629810485"/>
        </stop>
      </gradientFill>
    </fill>
    <fill>
      <gradientFill degree="90">
        <stop position="0">
          <color theme="0"/>
        </stop>
        <stop position="1">
          <color theme="4" tint="0.59999389629810485"/>
        </stop>
      </gradientFill>
    </fill>
    <fill>
      <gradientFill degree="270">
        <stop position="0">
          <color theme="0"/>
        </stop>
        <stop position="1">
          <color theme="4" tint="0.59999389629810485"/>
        </stop>
      </gradientFill>
    </fill>
    <fill>
      <patternFill patternType="solid">
        <fgColor theme="4" tint="0.59996337778862885"/>
        <bgColor indexed="64"/>
      </patternFill>
    </fill>
    <fill>
      <gradientFill>
        <stop position="0">
          <color theme="0"/>
        </stop>
        <stop position="1">
          <color theme="4" tint="0.59999389629810485"/>
        </stop>
      </gradientFill>
    </fill>
    <fill>
      <gradientFill>
        <stop position="0">
          <color theme="0"/>
        </stop>
        <stop position="0.5">
          <color theme="4"/>
        </stop>
        <stop position="1">
          <color theme="0"/>
        </stop>
      </gradientFill>
    </fill>
    <fill>
      <gradientFill>
        <stop position="0">
          <color theme="4" tint="0.59999389629810485"/>
        </stop>
        <stop position="0.5">
          <color theme="0"/>
        </stop>
        <stop position="1">
          <color theme="4" tint="0.59999389629810485"/>
        </stop>
      </gradientFill>
    </fill>
    <fill>
      <patternFill patternType="solid">
        <fgColor theme="4" tint="0.59999389629810485"/>
        <bgColor indexed="64"/>
      </patternFill>
    </fill>
    <fill>
      <gradientFill>
        <stop position="0">
          <color theme="4" tint="0.59999389629810485"/>
        </stop>
        <stop position="1">
          <color theme="0"/>
        </stop>
      </gradientFill>
    </fill>
    <fill>
      <gradientFill>
        <stop position="0">
          <color theme="0"/>
        </stop>
        <stop position="1">
          <color theme="4" tint="0.40000610370189521"/>
        </stop>
      </gradientFill>
    </fill>
    <fill>
      <patternFill patternType="solid">
        <fgColor theme="8" tint="0.39997558519241921"/>
        <bgColor indexed="64"/>
      </patternFill>
    </fill>
    <fill>
      <patternFill patternType="solid">
        <fgColor theme="0" tint="-0.14999847407452621"/>
        <bgColor indexed="64"/>
      </patternFill>
    </fill>
    <fill>
      <gradientFill degree="270">
        <stop position="0">
          <color theme="3" tint="0.80001220740379042"/>
        </stop>
        <stop position="1">
          <color theme="8" tint="0.40000610370189521"/>
        </stop>
      </gradientFill>
    </fill>
    <fill>
      <patternFill patternType="solid">
        <fgColor theme="3" tint="0.79998168889431442"/>
        <bgColor indexed="64"/>
      </patternFill>
    </fill>
    <fill>
      <patternFill patternType="solid">
        <fgColor theme="3" tint="0.79998168889431442"/>
        <bgColor auto="1"/>
      </patternFill>
    </fill>
    <fill>
      <patternFill patternType="solid">
        <fgColor theme="4" tint="0.79998168889431442"/>
        <bgColor indexed="64"/>
      </patternFill>
    </fill>
    <fill>
      <gradientFill degree="180">
        <stop position="0">
          <color theme="0"/>
        </stop>
        <stop position="1">
          <color theme="4" tint="0.80001220740379042"/>
        </stop>
      </gradientFill>
    </fill>
    <fill>
      <gradientFill degree="270">
        <stop position="0">
          <color theme="0"/>
        </stop>
        <stop position="1">
          <color theme="4" tint="0.40000610370189521"/>
        </stop>
      </gradientFill>
    </fill>
    <fill>
      <gradientFill degree="180">
        <stop position="0">
          <color theme="4" tint="0.80001220740379042"/>
        </stop>
        <stop position="1">
          <color theme="4" tint="0.59999389629810485"/>
        </stop>
      </gradientFill>
    </fill>
    <fill>
      <gradientFill degree="180">
        <stop position="0">
          <color theme="4" tint="0.80001220740379042"/>
        </stop>
        <stop position="1">
          <color theme="4"/>
        </stop>
      </gradientFill>
    </fill>
    <fill>
      <patternFill patternType="solid">
        <fgColor theme="8" tint="0.39994506668294322"/>
        <bgColor indexed="64"/>
      </patternFill>
    </fill>
    <fill>
      <gradientFill degree="180">
        <stop position="0">
          <color theme="0"/>
        </stop>
        <stop position="1">
          <color theme="8" tint="0.40000610370189521"/>
        </stop>
      </gradientFill>
    </fill>
    <fill>
      <gradientFill>
        <stop position="0">
          <color theme="0"/>
        </stop>
        <stop position="1">
          <color theme="8" tint="0.40000610370189521"/>
        </stop>
      </gradientFill>
    </fill>
  </fills>
  <borders count="21">
    <border>
      <left/>
      <right/>
      <top/>
      <bottom/>
      <diagonal/>
    </border>
    <border>
      <left/>
      <right/>
      <top/>
      <bottom style="medium">
        <color rgb="FF943634"/>
      </bottom>
      <diagonal/>
    </border>
    <border>
      <left/>
      <right/>
      <top style="medium">
        <color rgb="FF943634"/>
      </top>
      <bottom/>
      <diagonal/>
    </border>
    <border>
      <left/>
      <right/>
      <top style="thin">
        <color theme="5" tint="-0.24994659260841701"/>
      </top>
      <bottom/>
      <diagonal/>
    </border>
    <border>
      <left style="thin">
        <color theme="4" tint="-0.24994659260841701"/>
      </left>
      <right/>
      <top style="thin">
        <color theme="4" tint="-0.24994659260841701"/>
      </top>
      <bottom/>
      <diagonal/>
    </border>
    <border>
      <left/>
      <right/>
      <top style="thin">
        <color theme="4" tint="-0.24994659260841701"/>
      </top>
      <bottom/>
      <diagonal/>
    </border>
    <border>
      <left style="thin">
        <color theme="4" tint="-0.24994659260841701"/>
      </left>
      <right/>
      <top/>
      <bottom/>
      <diagonal/>
    </border>
    <border>
      <left/>
      <right/>
      <top/>
      <bottom style="thin">
        <color theme="4" tint="-0.24994659260841701"/>
      </bottom>
      <diagonal/>
    </border>
    <border>
      <left/>
      <right/>
      <top style="dotted">
        <color theme="8" tint="-0.24994659260841701"/>
      </top>
      <bottom/>
      <diagonal/>
    </border>
    <border>
      <left/>
      <right/>
      <top/>
      <bottom style="thin">
        <color theme="4" tint="0.79998168889431442"/>
      </bottom>
      <diagonal/>
    </border>
    <border>
      <left/>
      <right/>
      <top style="thin">
        <color theme="4" tint="0.79998168889431442"/>
      </top>
      <bottom/>
      <diagonal/>
    </border>
    <border>
      <left/>
      <right/>
      <top/>
      <bottom style="thin">
        <color theme="4"/>
      </bottom>
      <diagonal/>
    </border>
    <border>
      <left/>
      <right/>
      <top style="thin">
        <color theme="8" tint="0.39994506668294322"/>
      </top>
      <bottom/>
      <diagonal/>
    </border>
    <border>
      <left style="thin">
        <color theme="8" tint="0.39994506668294322"/>
      </left>
      <right/>
      <top/>
      <bottom/>
      <diagonal/>
    </border>
    <border>
      <left style="thin">
        <color theme="8" tint="0.39994506668294322"/>
      </left>
      <right/>
      <top/>
      <bottom style="thin">
        <color theme="8" tint="0.39994506668294322"/>
      </bottom>
      <diagonal/>
    </border>
    <border>
      <left/>
      <right/>
      <top/>
      <bottom style="thin">
        <color theme="8" tint="0.39994506668294322"/>
      </bottom>
      <diagonal/>
    </border>
    <border>
      <left/>
      <right/>
      <top style="thin">
        <color theme="4" tint="0.39994506668294322"/>
      </top>
      <bottom/>
      <diagonal/>
    </border>
    <border>
      <left/>
      <right style="thin">
        <color theme="8" tint="0.39994506668294322"/>
      </right>
      <top/>
      <bottom/>
      <diagonal/>
    </border>
    <border>
      <left/>
      <right/>
      <top/>
      <bottom style="thick">
        <color theme="4" tint="-0.24994659260841701"/>
      </bottom>
      <diagonal/>
    </border>
    <border>
      <left/>
      <right style="thin">
        <color theme="4" tint="-0.24994659260841701"/>
      </right>
      <top/>
      <bottom/>
      <diagonal/>
    </border>
    <border>
      <left style="thin">
        <color theme="8" tint="-0.24994659260841701"/>
      </left>
      <right/>
      <top/>
      <bottom/>
      <diagonal/>
    </border>
  </borders>
  <cellStyleXfs count="2">
    <xf numFmtId="0" fontId="0" fillId="0" borderId="0"/>
    <xf numFmtId="0" fontId="22" fillId="0" borderId="0" applyNumberFormat="0" applyFill="0" applyBorder="0" applyAlignment="0" applyProtection="0"/>
  </cellStyleXfs>
  <cellXfs count="379">
    <xf numFmtId="0" fontId="0" fillId="0" borderId="0" xfId="0"/>
    <xf numFmtId="0" fontId="1" fillId="0" borderId="0" xfId="0" applyFont="1" applyAlignment="1">
      <alignment horizontal="right" vertical="center"/>
    </xf>
    <xf numFmtId="0" fontId="4" fillId="0" borderId="0" xfId="0" applyFont="1"/>
    <xf numFmtId="0" fontId="4" fillId="0" borderId="0" xfId="0" applyFont="1" applyAlignment="1">
      <alignment vertical="center"/>
    </xf>
    <xf numFmtId="0" fontId="4" fillId="0" borderId="0" xfId="0" applyFont="1" applyAlignment="1">
      <alignment horizontal="left" vertical="center" indent="3"/>
    </xf>
    <xf numFmtId="0" fontId="4" fillId="0" borderId="0" xfId="0" applyFont="1" applyAlignment="1">
      <alignment horizontal="right" vertical="center"/>
    </xf>
    <xf numFmtId="0" fontId="13" fillId="0" borderId="0" xfId="0" applyFont="1" applyAlignment="1">
      <alignment vertical="center"/>
    </xf>
    <xf numFmtId="0" fontId="10" fillId="0" borderId="2" xfId="0" applyFont="1" applyBorder="1"/>
    <xf numFmtId="0" fontId="16" fillId="0" borderId="0" xfId="0" applyFont="1" applyAlignment="1">
      <alignment horizontal="left" vertical="center"/>
    </xf>
    <xf numFmtId="0" fontId="4" fillId="0" borderId="2" xfId="0" applyFont="1" applyBorder="1" applyAlignment="1">
      <alignment vertical="center"/>
    </xf>
    <xf numFmtId="0" fontId="4" fillId="0" borderId="2" xfId="0" applyFont="1" applyBorder="1"/>
    <xf numFmtId="0" fontId="22" fillId="0" borderId="0" xfId="1" applyAlignment="1"/>
    <xf numFmtId="0" fontId="16" fillId="0" borderId="0" xfId="0" applyFont="1" applyAlignment="1">
      <alignment horizontal="left" vertical="center" indent="1"/>
    </xf>
    <xf numFmtId="0" fontId="16" fillId="0" borderId="0" xfId="0" applyFont="1" applyAlignment="1">
      <alignment vertical="center"/>
    </xf>
    <xf numFmtId="0" fontId="19" fillId="0" borderId="0" xfId="0" applyFont="1" applyAlignment="1">
      <alignment horizontal="left" vertical="center" indent="13"/>
    </xf>
    <xf numFmtId="0" fontId="19" fillId="0" borderId="2" xfId="0" applyFont="1" applyBorder="1" applyAlignment="1">
      <alignment horizontal="left" vertical="center" indent="3"/>
    </xf>
    <xf numFmtId="0" fontId="19" fillId="0" borderId="0" xfId="0" applyFont="1" applyAlignment="1">
      <alignment horizontal="left" vertical="center" indent="3"/>
    </xf>
    <xf numFmtId="0" fontId="19" fillId="0" borderId="0" xfId="0" applyFont="1" applyAlignment="1">
      <alignment horizontal="left"/>
    </xf>
    <xf numFmtId="0" fontId="19" fillId="0" borderId="0" xfId="0" applyFont="1" applyAlignment="1">
      <alignment horizontal="left" indent="13"/>
    </xf>
    <xf numFmtId="0" fontId="19" fillId="0" borderId="2" xfId="0" applyFont="1" applyBorder="1" applyAlignment="1">
      <alignment horizontal="left" indent="3"/>
    </xf>
    <xf numFmtId="0" fontId="19" fillId="0" borderId="0" xfId="0" applyFont="1" applyAlignment="1">
      <alignment horizontal="left" indent="3"/>
    </xf>
    <xf numFmtId="0" fontId="10" fillId="0" borderId="0" xfId="0" applyFont="1"/>
    <xf numFmtId="0" fontId="16" fillId="0" borderId="0" xfId="0" applyFont="1" applyAlignment="1">
      <alignment horizontal="left"/>
    </xf>
    <xf numFmtId="0" fontId="16" fillId="0" borderId="0" xfId="0" applyFont="1" applyAlignment="1">
      <alignment horizontal="left" indent="1"/>
    </xf>
    <xf numFmtId="0" fontId="2" fillId="0" borderId="0" xfId="0" applyFont="1" applyAlignment="1">
      <alignment horizontal="left" vertical="center" indent="2"/>
    </xf>
    <xf numFmtId="0" fontId="22" fillId="0" borderId="0" xfId="1" applyAlignment="1">
      <alignment horizontal="left" vertical="center" indent="2"/>
    </xf>
    <xf numFmtId="0" fontId="7" fillId="0" borderId="0" xfId="0" applyFont="1" applyAlignment="1">
      <alignment horizontal="left" vertical="center" indent="2"/>
    </xf>
    <xf numFmtId="0" fontId="16" fillId="0" borderId="0" xfId="0" applyFont="1" applyAlignment="1">
      <alignment wrapText="1"/>
    </xf>
    <xf numFmtId="0" fontId="22" fillId="0" borderId="0" xfId="1" applyAlignment="1">
      <alignment wrapText="1"/>
    </xf>
    <xf numFmtId="0" fontId="22" fillId="0" borderId="0" xfId="1" applyAlignment="1">
      <alignment horizontal="left" vertical="center" indent="3"/>
    </xf>
    <xf numFmtId="0" fontId="2" fillId="0" borderId="0" xfId="0" applyFont="1" applyAlignment="1">
      <alignment horizontal="left" vertical="center" indent="3"/>
    </xf>
    <xf numFmtId="0" fontId="22" fillId="0" borderId="0" xfId="1" applyAlignment="1">
      <alignment horizontal="left" vertical="center" indent="4"/>
    </xf>
    <xf numFmtId="0" fontId="7" fillId="0" borderId="0" xfId="0" quotePrefix="1" applyFont="1" applyAlignment="1">
      <alignment horizontal="left" vertical="center" indent="4"/>
    </xf>
    <xf numFmtId="0" fontId="7" fillId="0" borderId="0" xfId="0" applyFont="1" applyAlignment="1">
      <alignment horizontal="left" vertical="center" indent="4"/>
    </xf>
    <xf numFmtId="0" fontId="4" fillId="5" borderId="0" xfId="0" applyFont="1" applyFill="1" applyAlignment="1">
      <alignment horizontal="right" vertical="center"/>
    </xf>
    <xf numFmtId="0" fontId="4" fillId="5" borderId="0" xfId="0" applyFont="1" applyFill="1"/>
    <xf numFmtId="0" fontId="4" fillId="5" borderId="0" xfId="0" applyFont="1" applyFill="1" applyAlignment="1">
      <alignment horizontal="left"/>
    </xf>
    <xf numFmtId="0" fontId="16" fillId="5" borderId="0" xfId="0" applyFont="1" applyFill="1" applyAlignment="1">
      <alignment horizontal="left"/>
    </xf>
    <xf numFmtId="0" fontId="4" fillId="5" borderId="0" xfId="0" applyFont="1" applyFill="1" applyAlignment="1">
      <alignment horizontal="left" wrapText="1"/>
    </xf>
    <xf numFmtId="0" fontId="25" fillId="5" borderId="0" xfId="0" applyFont="1" applyFill="1" applyAlignment="1">
      <alignment horizontal="left"/>
    </xf>
    <xf numFmtId="0" fontId="12" fillId="5" borderId="0" xfId="0" applyFont="1" applyFill="1" applyAlignment="1">
      <alignment horizontal="left"/>
    </xf>
    <xf numFmtId="0" fontId="24" fillId="5" borderId="0" xfId="0" applyFont="1" applyFill="1" applyAlignment="1">
      <alignment horizontal="left"/>
    </xf>
    <xf numFmtId="164" fontId="4" fillId="5" borderId="0" xfId="0" applyNumberFormat="1" applyFont="1" applyFill="1" applyAlignment="1">
      <alignment horizontal="left"/>
    </xf>
    <xf numFmtId="0" fontId="30" fillId="5" borderId="0" xfId="0" applyFont="1" applyFill="1" applyAlignment="1">
      <alignment horizontal="left"/>
    </xf>
    <xf numFmtId="0" fontId="35" fillId="5" borderId="0" xfId="0" applyFont="1" applyFill="1" applyAlignment="1">
      <alignment horizontal="left"/>
    </xf>
    <xf numFmtId="0" fontId="43" fillId="5" borderId="0" xfId="0" applyFont="1" applyFill="1" applyAlignment="1">
      <alignment horizontal="left"/>
    </xf>
    <xf numFmtId="0" fontId="26" fillId="5" borderId="0" xfId="0" applyFont="1" applyFill="1" applyAlignment="1">
      <alignment vertical="center"/>
    </xf>
    <xf numFmtId="0" fontId="27" fillId="5" borderId="0" xfId="0" applyFont="1" applyFill="1" applyAlignment="1">
      <alignment horizontal="left"/>
    </xf>
    <xf numFmtId="0" fontId="26" fillId="5" borderId="0" xfId="0" applyFont="1" applyFill="1" applyAlignment="1">
      <alignment horizontal="left"/>
    </xf>
    <xf numFmtId="0" fontId="4" fillId="0" borderId="4" xfId="0" applyFont="1" applyBorder="1" applyAlignment="1">
      <alignment horizontal="left"/>
    </xf>
    <xf numFmtId="0" fontId="0" fillId="0" borderId="5" xfId="0" applyBorder="1"/>
    <xf numFmtId="0" fontId="4" fillId="0" borderId="6" xfId="0" applyFont="1" applyBorder="1" applyAlignment="1">
      <alignment horizontal="left"/>
    </xf>
    <xf numFmtId="0" fontId="0" fillId="0" borderId="6" xfId="0" applyBorder="1"/>
    <xf numFmtId="0" fontId="4" fillId="0" borderId="6" xfId="0" applyFont="1" applyBorder="1" applyAlignment="1">
      <alignment horizontal="left" wrapText="1"/>
    </xf>
    <xf numFmtId="0" fontId="27" fillId="0" borderId="6" xfId="0" applyFont="1" applyBorder="1" applyAlignment="1">
      <alignment horizontal="left"/>
    </xf>
    <xf numFmtId="0" fontId="26" fillId="0" borderId="6" xfId="0" applyFont="1" applyBorder="1" applyAlignment="1">
      <alignment horizontal="left"/>
    </xf>
    <xf numFmtId="0" fontId="25" fillId="0" borderId="6" xfId="0" applyFont="1" applyBorder="1" applyAlignment="1">
      <alignment horizontal="left"/>
    </xf>
    <xf numFmtId="0" fontId="4" fillId="0" borderId="0" xfId="0" applyFont="1" applyAlignment="1">
      <alignment horizontal="left" vertical="top"/>
    </xf>
    <xf numFmtId="0" fontId="4" fillId="0" borderId="0" xfId="0" applyFont="1" applyAlignment="1">
      <alignment vertical="top"/>
    </xf>
    <xf numFmtId="0" fontId="4" fillId="0" borderId="6" xfId="0" applyFont="1" applyBorder="1"/>
    <xf numFmtId="164" fontId="4" fillId="0" borderId="6" xfId="0" applyNumberFormat="1" applyFont="1" applyBorder="1" applyAlignment="1">
      <alignment horizontal="left"/>
    </xf>
    <xf numFmtId="0" fontId="44" fillId="0" borderId="0" xfId="0" applyFont="1"/>
    <xf numFmtId="0" fontId="35" fillId="0" borderId="0" xfId="0" applyFont="1" applyAlignment="1">
      <alignment horizontal="left" vertical="top" indent="1"/>
    </xf>
    <xf numFmtId="0" fontId="4" fillId="0" borderId="0" xfId="0" applyFont="1" applyAlignment="1">
      <alignment horizontal="left" indent="1"/>
    </xf>
    <xf numFmtId="0" fontId="4" fillId="0" borderId="0" xfId="0" applyFont="1" applyAlignment="1">
      <alignment horizontal="left" vertical="top" indent="1"/>
    </xf>
    <xf numFmtId="0" fontId="35" fillId="0" borderId="0" xfId="0" applyFont="1" applyAlignment="1">
      <alignment horizontal="left"/>
    </xf>
    <xf numFmtId="0" fontId="4" fillId="0" borderId="0" xfId="0" applyFont="1" applyAlignment="1">
      <alignment horizontal="left"/>
    </xf>
    <xf numFmtId="0" fontId="35" fillId="0" borderId="0" xfId="0" applyFont="1" applyAlignment="1">
      <alignment horizontal="left" vertical="center" indent="1"/>
    </xf>
    <xf numFmtId="0" fontId="36" fillId="0" borderId="0" xfId="0" applyFont="1" applyAlignment="1">
      <alignment horizontal="left" vertical="center" indent="1"/>
    </xf>
    <xf numFmtId="0" fontId="35" fillId="5" borderId="8" xfId="0" applyFont="1" applyFill="1" applyBorder="1" applyAlignment="1">
      <alignment horizontal="center"/>
    </xf>
    <xf numFmtId="0" fontId="12" fillId="5" borderId="8" xfId="0" applyFont="1" applyFill="1" applyBorder="1" applyAlignment="1">
      <alignment horizontal="left"/>
    </xf>
    <xf numFmtId="0" fontId="35" fillId="5" borderId="0" xfId="0" applyFont="1" applyFill="1"/>
    <xf numFmtId="0" fontId="4" fillId="5" borderId="5" xfId="0" applyFont="1" applyFill="1" applyBorder="1"/>
    <xf numFmtId="0" fontId="48" fillId="0" borderId="0" xfId="0" applyFont="1" applyAlignment="1">
      <alignment horizontal="left" vertical="center" indent="1"/>
    </xf>
    <xf numFmtId="0" fontId="54" fillId="0" borderId="0" xfId="0" applyFont="1" applyAlignment="1">
      <alignment horizontal="left" vertical="center" indent="1"/>
    </xf>
    <xf numFmtId="0" fontId="54" fillId="0" borderId="0" xfId="1" applyFont="1" applyBorder="1" applyAlignment="1">
      <alignment horizontal="left" vertical="top" indent="1"/>
    </xf>
    <xf numFmtId="0" fontId="4" fillId="0" borderId="13" xfId="0" applyFont="1" applyBorder="1" applyAlignment="1">
      <alignment horizontal="left" wrapText="1"/>
    </xf>
    <xf numFmtId="0" fontId="4" fillId="0" borderId="0" xfId="0" applyFont="1" applyAlignment="1">
      <alignment horizontal="left" wrapText="1"/>
    </xf>
    <xf numFmtId="0" fontId="27" fillId="0" borderId="0" xfId="0" applyFont="1" applyAlignment="1">
      <alignment horizontal="left"/>
    </xf>
    <xf numFmtId="0" fontId="26" fillId="0" borderId="0" xfId="0" applyFont="1" applyAlignment="1">
      <alignment horizontal="left"/>
    </xf>
    <xf numFmtId="0" fontId="25" fillId="0" borderId="0" xfId="0" applyFont="1" applyAlignment="1">
      <alignment horizontal="left"/>
    </xf>
    <xf numFmtId="0" fontId="4" fillId="5" borderId="17" xfId="0" applyFont="1" applyFill="1" applyBorder="1" applyAlignment="1">
      <alignment horizontal="left"/>
    </xf>
    <xf numFmtId="0" fontId="26" fillId="5" borderId="17" xfId="0" applyFont="1" applyFill="1" applyBorder="1" applyAlignment="1">
      <alignment vertical="center"/>
    </xf>
    <xf numFmtId="0" fontId="4" fillId="5" borderId="17" xfId="0" applyFont="1" applyFill="1" applyBorder="1" applyAlignment="1">
      <alignment horizontal="left" wrapText="1"/>
    </xf>
    <xf numFmtId="0" fontId="27" fillId="5" borderId="17" xfId="0" applyFont="1" applyFill="1" applyBorder="1" applyAlignment="1">
      <alignment horizontal="left"/>
    </xf>
    <xf numFmtId="0" fontId="26" fillId="5" borderId="17" xfId="0" applyFont="1" applyFill="1" applyBorder="1" applyAlignment="1">
      <alignment horizontal="left"/>
    </xf>
    <xf numFmtId="0" fontId="25" fillId="5" borderId="17" xfId="0" applyFont="1" applyFill="1" applyBorder="1" applyAlignment="1">
      <alignment horizontal="left"/>
    </xf>
    <xf numFmtId="0" fontId="4" fillId="5" borderId="15" xfId="0" applyFont="1" applyFill="1" applyBorder="1"/>
    <xf numFmtId="0" fontId="4" fillId="5" borderId="12" xfId="0" applyFont="1" applyFill="1" applyBorder="1" applyAlignment="1">
      <alignment horizontal="left"/>
    </xf>
    <xf numFmtId="0" fontId="0" fillId="5" borderId="12" xfId="0" applyFill="1" applyBorder="1"/>
    <xf numFmtId="0" fontId="0" fillId="5" borderId="0" xfId="0" applyFill="1"/>
    <xf numFmtId="0" fontId="0" fillId="5" borderId="14" xfId="0" applyFill="1" applyBorder="1"/>
    <xf numFmtId="0" fontId="0" fillId="5" borderId="15" xfId="0" applyFill="1" applyBorder="1"/>
    <xf numFmtId="0" fontId="4" fillId="0" borderId="12" xfId="0" applyFont="1" applyBorder="1" applyAlignment="1">
      <alignment horizontal="left"/>
    </xf>
    <xf numFmtId="0" fontId="0" fillId="0" borderId="14" xfId="0" applyBorder="1"/>
    <xf numFmtId="0" fontId="0" fillId="12" borderId="0" xfId="0" applyFill="1"/>
    <xf numFmtId="0" fontId="0" fillId="13" borderId="0" xfId="0" applyFill="1" applyAlignment="1">
      <alignment vertical="center"/>
    </xf>
    <xf numFmtId="0" fontId="0" fillId="0" borderId="0" xfId="0" applyAlignment="1">
      <alignment vertical="center"/>
    </xf>
    <xf numFmtId="0" fontId="40" fillId="0" borderId="0" xfId="0" applyFont="1" applyAlignment="1">
      <alignment vertical="top"/>
    </xf>
    <xf numFmtId="0" fontId="73" fillId="0" borderId="0" xfId="0" applyFont="1" applyAlignment="1">
      <alignment vertical="center"/>
    </xf>
    <xf numFmtId="0" fontId="0" fillId="0" borderId="18" xfId="0" applyBorder="1" applyAlignment="1">
      <alignment vertical="center"/>
    </xf>
    <xf numFmtId="0" fontId="0" fillId="0" borderId="18" xfId="0" applyBorder="1"/>
    <xf numFmtId="0" fontId="0" fillId="0" borderId="0" xfId="0" applyAlignment="1">
      <alignment horizontal="right" vertical="center"/>
    </xf>
    <xf numFmtId="0" fontId="76" fillId="0" borderId="0" xfId="0" applyFont="1" applyAlignment="1">
      <alignment horizontal="right" vertical="center"/>
    </xf>
    <xf numFmtId="0" fontId="74" fillId="0" borderId="0" xfId="0" applyFont="1" applyAlignment="1">
      <alignment vertical="center"/>
    </xf>
    <xf numFmtId="0" fontId="73" fillId="0" borderId="18" xfId="0" applyFont="1" applyBorder="1" applyAlignment="1">
      <alignment horizontal="left" vertical="center" indent="3"/>
    </xf>
    <xf numFmtId="0" fontId="0" fillId="13" borderId="6" xfId="0" applyFill="1" applyBorder="1" applyAlignment="1">
      <alignment vertical="center"/>
    </xf>
    <xf numFmtId="0" fontId="74" fillId="0" borderId="0" xfId="0" applyFont="1" applyAlignment="1">
      <alignment horizontal="left" vertical="center" indent="1"/>
    </xf>
    <xf numFmtId="0" fontId="77" fillId="0" borderId="0" xfId="0" applyFont="1" applyAlignment="1">
      <alignment vertical="top"/>
    </xf>
    <xf numFmtId="0" fontId="0" fillId="13" borderId="6" xfId="0" applyFill="1" applyBorder="1" applyAlignment="1">
      <alignment horizontal="left" vertical="center"/>
    </xf>
    <xf numFmtId="0" fontId="0" fillId="0" borderId="0" xfId="0" applyAlignment="1">
      <alignment horizontal="left" vertical="center" indent="2"/>
    </xf>
    <xf numFmtId="164" fontId="31" fillId="0" borderId="0" xfId="0" applyNumberFormat="1" applyFont="1" applyAlignment="1">
      <alignment vertical="center"/>
    </xf>
    <xf numFmtId="0" fontId="78" fillId="13" borderId="0" xfId="1" applyFont="1" applyFill="1" applyAlignment="1">
      <alignment vertical="center"/>
    </xf>
    <xf numFmtId="0" fontId="73" fillId="0" borderId="18" xfId="0" applyFont="1" applyBorder="1" applyAlignment="1">
      <alignment horizontal="left" indent="3"/>
    </xf>
    <xf numFmtId="0" fontId="79" fillId="0" borderId="0" xfId="1" applyFont="1" applyAlignment="1">
      <alignment vertical="center"/>
    </xf>
    <xf numFmtId="0" fontId="79" fillId="0" borderId="0" xfId="0" applyFont="1"/>
    <xf numFmtId="0" fontId="79" fillId="0" borderId="0" xfId="0" applyFont="1" applyAlignment="1">
      <alignment vertical="center"/>
    </xf>
    <xf numFmtId="0" fontId="80" fillId="0" borderId="0" xfId="0" applyFont="1" applyAlignment="1">
      <alignment horizontal="right" vertical="top"/>
    </xf>
    <xf numFmtId="0" fontId="81" fillId="0" borderId="0" xfId="0" applyFont="1" applyAlignment="1">
      <alignment horizontal="right" vertical="center" indent="1"/>
    </xf>
    <xf numFmtId="0" fontId="73" fillId="0" borderId="18" xfId="0" applyFont="1" applyBorder="1" applyAlignment="1">
      <alignment horizontal="left"/>
    </xf>
    <xf numFmtId="0" fontId="74" fillId="0" borderId="0" xfId="0" applyFont="1" applyAlignment="1">
      <alignment horizontal="left" vertical="top" indent="1"/>
    </xf>
    <xf numFmtId="0" fontId="73" fillId="0" borderId="0" xfId="0" applyFont="1"/>
    <xf numFmtId="0" fontId="0" fillId="0" borderId="0" xfId="0" applyAlignment="1">
      <alignment horizontal="right"/>
    </xf>
    <xf numFmtId="0" fontId="74" fillId="0" borderId="0" xfId="0" applyFont="1"/>
    <xf numFmtId="0" fontId="0" fillId="0" borderId="6" xfId="0" applyBorder="1" applyAlignment="1">
      <alignment vertical="center"/>
    </xf>
    <xf numFmtId="0" fontId="78" fillId="0" borderId="0" xfId="1" applyFont="1" applyAlignment="1">
      <alignment vertical="center"/>
    </xf>
    <xf numFmtId="0" fontId="78" fillId="0" borderId="0" xfId="1" applyFont="1" applyAlignment="1"/>
    <xf numFmtId="0" fontId="78" fillId="0" borderId="0" xfId="0" applyFont="1"/>
    <xf numFmtId="0" fontId="78" fillId="0" borderId="0" xfId="0" applyFont="1" applyAlignment="1">
      <alignment vertical="center"/>
    </xf>
    <xf numFmtId="0" fontId="0" fillId="0" borderId="20" xfId="0" applyBorder="1"/>
    <xf numFmtId="0" fontId="83" fillId="0" borderId="0" xfId="0" applyFont="1" applyAlignment="1">
      <alignment vertical="top"/>
    </xf>
    <xf numFmtId="0" fontId="81" fillId="0" borderId="0" xfId="0" applyFont="1" applyAlignment="1">
      <alignment horizontal="right" vertical="center"/>
    </xf>
    <xf numFmtId="0" fontId="85" fillId="0" borderId="0" xfId="1" applyFont="1" applyAlignment="1">
      <alignment vertical="center"/>
    </xf>
    <xf numFmtId="0" fontId="86" fillId="0" borderId="0" xfId="1" applyFont="1"/>
    <xf numFmtId="0" fontId="86" fillId="0" borderId="0" xfId="1" applyFont="1" applyAlignment="1">
      <alignment vertical="center"/>
    </xf>
    <xf numFmtId="0" fontId="0" fillId="0" borderId="0" xfId="0" applyAlignment="1">
      <alignment horizontal="left" vertical="center"/>
    </xf>
    <xf numFmtId="0" fontId="0" fillId="15" borderId="0" xfId="0" applyFill="1" applyAlignment="1">
      <alignment vertical="center"/>
    </xf>
    <xf numFmtId="0" fontId="78" fillId="15" borderId="0" xfId="1" applyFont="1" applyFill="1" applyAlignment="1">
      <alignment vertical="center"/>
    </xf>
    <xf numFmtId="0" fontId="0" fillId="16" borderId="0" xfId="0" applyFill="1" applyAlignment="1">
      <alignment horizontal="right" indent="4"/>
    </xf>
    <xf numFmtId="0" fontId="0" fillId="15" borderId="0" xfId="0" applyFill="1" applyAlignment="1">
      <alignment horizontal="left" vertical="center"/>
    </xf>
    <xf numFmtId="0" fontId="75" fillId="0" borderId="0" xfId="0" applyFont="1" applyAlignment="1">
      <alignment vertical="center"/>
    </xf>
    <xf numFmtId="0" fontId="73" fillId="0" borderId="0" xfId="0" applyFont="1" applyAlignment="1">
      <alignment horizontal="left" indent="1"/>
    </xf>
    <xf numFmtId="0" fontId="73" fillId="0" borderId="0" xfId="0" applyFont="1" applyAlignment="1">
      <alignment horizontal="left" vertical="center" indent="3"/>
    </xf>
    <xf numFmtId="0" fontId="73" fillId="0" borderId="0" xfId="0" applyFont="1" applyAlignment="1">
      <alignment horizontal="left" indent="4"/>
    </xf>
    <xf numFmtId="0" fontId="73" fillId="0" borderId="0" xfId="0" applyFont="1" applyAlignment="1">
      <alignment horizontal="left"/>
    </xf>
    <xf numFmtId="0" fontId="73" fillId="0" borderId="0" xfId="0" applyFont="1" applyAlignment="1">
      <alignment horizontal="left" vertical="center" indent="1"/>
    </xf>
    <xf numFmtId="0" fontId="89" fillId="17" borderId="0" xfId="0" applyFont="1" applyFill="1" applyAlignment="1">
      <alignment vertical="center"/>
    </xf>
    <xf numFmtId="0" fontId="28" fillId="19" borderId="0" xfId="0" applyFont="1" applyFill="1" applyAlignment="1">
      <alignment horizontal="left" indent="2"/>
    </xf>
    <xf numFmtId="0" fontId="29" fillId="19" borderId="0" xfId="0" applyFont="1" applyFill="1" applyAlignment="1">
      <alignment horizontal="left" indent="2"/>
    </xf>
    <xf numFmtId="0" fontId="90" fillId="17" borderId="0" xfId="0" applyFont="1" applyFill="1" applyAlignment="1">
      <alignment vertical="center"/>
    </xf>
    <xf numFmtId="0" fontId="92" fillId="19" borderId="0" xfId="0" applyFont="1" applyFill="1" applyAlignment="1">
      <alignment horizontal="left" vertical="top" indent="2"/>
    </xf>
    <xf numFmtId="0" fontId="92" fillId="19" borderId="0" xfId="0" applyFont="1" applyFill="1" applyAlignment="1">
      <alignment horizontal="left" vertical="top" indent="4"/>
    </xf>
    <xf numFmtId="0" fontId="76" fillId="20" borderId="0" xfId="0" applyFont="1" applyFill="1" applyAlignment="1">
      <alignment horizontal="right" vertical="center"/>
    </xf>
    <xf numFmtId="0" fontId="0" fillId="20" borderId="0" xfId="0" applyFill="1" applyAlignment="1">
      <alignment vertical="center"/>
    </xf>
    <xf numFmtId="0" fontId="76" fillId="21" borderId="0" xfId="0" applyFont="1" applyFill="1" applyAlignment="1">
      <alignment horizontal="right" vertical="center"/>
    </xf>
    <xf numFmtId="0" fontId="73" fillId="0" borderId="0" xfId="0" applyFont="1" applyAlignment="1">
      <alignment horizontal="left" vertical="center"/>
    </xf>
    <xf numFmtId="0" fontId="99" fillId="0" borderId="0" xfId="0" applyFont="1" applyAlignment="1">
      <alignment horizontal="left" vertical="center"/>
    </xf>
    <xf numFmtId="0" fontId="0" fillId="22" borderId="0" xfId="0" applyFill="1"/>
    <xf numFmtId="0" fontId="0" fillId="23" borderId="0" xfId="0" applyFill="1"/>
    <xf numFmtId="0" fontId="0" fillId="24" borderId="0" xfId="0" applyFill="1"/>
    <xf numFmtId="0" fontId="97" fillId="23" borderId="0" xfId="0" applyFont="1" applyFill="1" applyAlignment="1">
      <alignment horizontal="right" vertical="center" indent="1"/>
    </xf>
    <xf numFmtId="0" fontId="100" fillId="0" borderId="0" xfId="0" applyFont="1" applyAlignment="1">
      <alignment horizontal="left" vertical="center"/>
    </xf>
    <xf numFmtId="0" fontId="99" fillId="0" borderId="0" xfId="0" applyFont="1" applyAlignment="1">
      <alignment horizontal="right" vertical="center" indent="1"/>
    </xf>
    <xf numFmtId="0" fontId="0" fillId="0" borderId="0" xfId="0" applyAlignment="1">
      <alignment horizontal="right" vertical="center" indent="1"/>
    </xf>
    <xf numFmtId="0" fontId="102" fillId="0" borderId="0" xfId="0" applyFont="1" applyAlignment="1">
      <alignment horizontal="left" vertical="center"/>
    </xf>
    <xf numFmtId="0" fontId="104" fillId="0" borderId="0" xfId="0" applyFont="1" applyAlignment="1">
      <alignment horizontal="left" vertical="center"/>
    </xf>
    <xf numFmtId="0" fontId="103" fillId="0" borderId="0" xfId="1" applyFont="1" applyAlignment="1">
      <alignment horizontal="left" vertical="center" indent="1"/>
    </xf>
    <xf numFmtId="0" fontId="103" fillId="0" borderId="0" xfId="1" applyFont="1" applyAlignment="1">
      <alignment horizontal="left" vertical="center"/>
    </xf>
    <xf numFmtId="49" fontId="103" fillId="0" borderId="0" xfId="1" applyNumberFormat="1" applyFont="1" applyAlignment="1">
      <alignment horizontal="left" vertical="center"/>
    </xf>
    <xf numFmtId="0" fontId="106" fillId="0" borderId="0" xfId="0" applyFont="1" applyAlignment="1">
      <alignment horizontal="left" vertical="center"/>
    </xf>
    <xf numFmtId="0" fontId="107" fillId="0" borderId="0" xfId="0" applyFont="1" applyAlignment="1">
      <alignment horizontal="left" vertical="center"/>
    </xf>
    <xf numFmtId="0" fontId="104" fillId="23" borderId="0" xfId="0" quotePrefix="1" applyFont="1" applyFill="1" applyAlignment="1">
      <alignment horizontal="right" vertical="center" indent="1"/>
    </xf>
    <xf numFmtId="0" fontId="104" fillId="23" borderId="0" xfId="0" applyFont="1" applyFill="1" applyAlignment="1">
      <alignment horizontal="right" vertical="center" indent="1"/>
    </xf>
    <xf numFmtId="0" fontId="104" fillId="23" borderId="0" xfId="0" applyFont="1" applyFill="1" applyAlignment="1">
      <alignment horizontal="right" indent="1"/>
    </xf>
    <xf numFmtId="0" fontId="108" fillId="0" borderId="0" xfId="0" applyFont="1" applyAlignment="1">
      <alignment horizontal="left" vertical="center"/>
    </xf>
    <xf numFmtId="0" fontId="109" fillId="0" borderId="0" xfId="0" applyFont="1" applyAlignment="1">
      <alignment horizontal="left" vertical="center"/>
    </xf>
    <xf numFmtId="0" fontId="76" fillId="0" borderId="0" xfId="1" applyFont="1" applyAlignment="1">
      <alignment horizontal="left" vertical="center"/>
    </xf>
    <xf numFmtId="0" fontId="110" fillId="0" borderId="0" xfId="1" applyFont="1" applyAlignment="1">
      <alignment horizontal="left" vertical="center"/>
    </xf>
    <xf numFmtId="0" fontId="101" fillId="0" borderId="0" xfId="0" applyFont="1" applyAlignment="1">
      <alignment horizontal="left" vertical="center"/>
    </xf>
    <xf numFmtId="0" fontId="0" fillId="0" borderId="15" xfId="0" applyBorder="1"/>
    <xf numFmtId="0" fontId="0" fillId="0" borderId="12" xfId="0" applyBorder="1"/>
    <xf numFmtId="0" fontId="111" fillId="0" borderId="0" xfId="0" applyFont="1" applyAlignment="1">
      <alignment horizontal="right" vertical="center"/>
    </xf>
    <xf numFmtId="0" fontId="105" fillId="23" borderId="0" xfId="0" applyFont="1" applyFill="1" applyAlignment="1">
      <alignment horizontal="right" vertical="center" indent="1"/>
    </xf>
    <xf numFmtId="0" fontId="112" fillId="0" borderId="0" xfId="0" applyFont="1" applyAlignment="1">
      <alignment horizontal="left" vertical="center"/>
    </xf>
    <xf numFmtId="0" fontId="113" fillId="0" borderId="0" xfId="1" applyFont="1" applyAlignment="1">
      <alignment horizontal="left" vertical="center" indent="1"/>
    </xf>
    <xf numFmtId="0" fontId="3" fillId="0" borderId="0" xfId="0" applyFont="1" applyAlignment="1">
      <alignment vertical="center" wrapText="1"/>
    </xf>
    <xf numFmtId="0" fontId="2" fillId="0" borderId="0" xfId="0" applyFont="1" applyAlignment="1">
      <alignment vertical="center" wrapText="1"/>
    </xf>
    <xf numFmtId="0" fontId="16" fillId="0" borderId="0" xfId="0" applyFont="1" applyAlignment="1">
      <alignment horizontal="left" wrapText="1" indent="1"/>
    </xf>
    <xf numFmtId="0" fontId="4" fillId="0" borderId="0" xfId="0" applyFont="1" applyAlignment="1">
      <alignment vertical="center" wrapText="1"/>
    </xf>
    <xf numFmtId="0" fontId="0" fillId="0" borderId="0" xfId="0" applyAlignment="1">
      <alignment horizontal="left" vertical="center" indent="1"/>
    </xf>
    <xf numFmtId="0" fontId="0" fillId="0" borderId="0" xfId="0" applyAlignment="1">
      <alignment horizontal="left" indent="1"/>
    </xf>
    <xf numFmtId="164" fontId="35" fillId="0" borderId="0" xfId="0" applyNumberFormat="1" applyFont="1" applyAlignment="1">
      <alignment horizontal="left"/>
    </xf>
    <xf numFmtId="0" fontId="52" fillId="0" borderId="0" xfId="1" applyFont="1" applyBorder="1" applyAlignment="1">
      <alignment horizontal="left" vertical="center" indent="1"/>
    </xf>
    <xf numFmtId="0" fontId="51" fillId="0" borderId="0" xfId="0" applyFont="1" applyAlignment="1">
      <alignment horizontal="left" vertical="center" indent="1"/>
    </xf>
    <xf numFmtId="0" fontId="32" fillId="0" borderId="0" xfId="0" applyFont="1" applyAlignment="1">
      <alignment horizontal="left" vertical="top" wrapText="1" indent="1"/>
    </xf>
    <xf numFmtId="0" fontId="35" fillId="5" borderId="0" xfId="0" applyFont="1" applyFill="1" applyAlignment="1">
      <alignment horizontal="left" indent="3"/>
    </xf>
    <xf numFmtId="0" fontId="35" fillId="5" borderId="0" xfId="0" applyFont="1" applyFill="1" applyAlignment="1">
      <alignment horizontal="center"/>
    </xf>
    <xf numFmtId="0" fontId="0" fillId="0" borderId="0" xfId="0" applyAlignment="1">
      <alignment horizontal="right" vertical="top" indent="1"/>
    </xf>
    <xf numFmtId="0" fontId="0" fillId="0" borderId="0" xfId="0" applyAlignment="1">
      <alignment horizontal="left"/>
    </xf>
    <xf numFmtId="0" fontId="107" fillId="0" borderId="0" xfId="0" applyFont="1" applyAlignment="1">
      <alignment horizontal="center" vertical="center"/>
    </xf>
    <xf numFmtId="0" fontId="0" fillId="23" borderId="15" xfId="0" applyFill="1" applyBorder="1"/>
    <xf numFmtId="0" fontId="106" fillId="0" borderId="0" xfId="0" applyFont="1" applyAlignment="1">
      <alignment horizontal="center" vertical="center"/>
    </xf>
    <xf numFmtId="0" fontId="108" fillId="0" borderId="0" xfId="0" applyFont="1"/>
    <xf numFmtId="0" fontId="108" fillId="24" borderId="0" xfId="0" applyFont="1" applyFill="1"/>
    <xf numFmtId="0" fontId="108" fillId="23" borderId="0" xfId="0" applyFont="1" applyFill="1"/>
    <xf numFmtId="0" fontId="108" fillId="22" borderId="0" xfId="0" applyFont="1" applyFill="1"/>
    <xf numFmtId="0" fontId="115" fillId="23" borderId="0" xfId="0" applyFont="1" applyFill="1" applyAlignment="1">
      <alignment horizontal="right"/>
    </xf>
    <xf numFmtId="0" fontId="112" fillId="0" borderId="0" xfId="0" applyFont="1"/>
    <xf numFmtId="0" fontId="116" fillId="0" borderId="0" xfId="0" applyFont="1"/>
    <xf numFmtId="0" fontId="114" fillId="0" borderId="15" xfId="0" applyFont="1" applyBorder="1" applyAlignment="1">
      <alignment horizontal="center" vertical="top"/>
    </xf>
    <xf numFmtId="0" fontId="117" fillId="0" borderId="0" xfId="0" applyFont="1"/>
    <xf numFmtId="0" fontId="118" fillId="0" borderId="0" xfId="0" applyFont="1"/>
    <xf numFmtId="0" fontId="115" fillId="0" borderId="0" xfId="0" applyFont="1" applyAlignment="1">
      <alignment horizontal="left" indent="1"/>
    </xf>
    <xf numFmtId="164" fontId="4" fillId="0" borderId="0" xfId="0" applyNumberFormat="1" applyFont="1" applyAlignment="1">
      <alignment horizontal="left" vertical="center" indent="1"/>
    </xf>
    <xf numFmtId="0" fontId="11" fillId="0" borderId="1" xfId="0" applyFont="1" applyBorder="1" applyAlignment="1">
      <alignment horizontal="center" vertical="center" wrapText="1"/>
    </xf>
    <xf numFmtId="0" fontId="16" fillId="0" borderId="2" xfId="0" applyFont="1" applyBorder="1" applyAlignment="1">
      <alignment horizontal="left" vertical="center" indent="1"/>
    </xf>
    <xf numFmtId="0" fontId="0" fillId="0" borderId="2" xfId="0" applyBorder="1" applyAlignment="1">
      <alignment horizontal="left" vertical="center" indent="1"/>
    </xf>
    <xf numFmtId="0" fontId="0" fillId="0" borderId="0" xfId="0" applyAlignment="1">
      <alignment horizontal="left" vertical="center" indent="1"/>
    </xf>
    <xf numFmtId="0" fontId="4" fillId="0" borderId="0" xfId="0" applyFont="1" applyAlignment="1">
      <alignment wrapText="1"/>
    </xf>
    <xf numFmtId="0" fontId="4" fillId="0" borderId="2" xfId="0" applyFont="1" applyBorder="1" applyAlignment="1">
      <alignment wrapText="1"/>
    </xf>
    <xf numFmtId="0" fontId="16" fillId="0" borderId="2" xfId="0" applyFont="1" applyBorder="1" applyAlignment="1">
      <alignment vertical="center" wrapText="1"/>
    </xf>
    <xf numFmtId="0" fontId="16" fillId="0" borderId="0" xfId="0" applyFont="1" applyAlignment="1">
      <alignment vertical="center" wrapText="1"/>
    </xf>
    <xf numFmtId="0" fontId="23" fillId="0" borderId="0" xfId="1" applyFont="1" applyAlignment="1">
      <alignment wrapText="1"/>
    </xf>
    <xf numFmtId="0" fontId="18" fillId="0" borderId="0" xfId="0" applyFont="1" applyAlignment="1">
      <alignment wrapText="1"/>
    </xf>
    <xf numFmtId="0" fontId="21" fillId="0" borderId="0" xfId="0" applyFont="1" applyAlignment="1">
      <alignment vertical="center" wrapText="1"/>
    </xf>
    <xf numFmtId="0" fontId="4" fillId="0" borderId="0" xfId="0" applyFont="1" applyAlignment="1">
      <alignment horizontal="left" vertical="center" wrapText="1" indent="2"/>
    </xf>
    <xf numFmtId="0" fontId="3" fillId="0" borderId="0" xfId="0" applyFont="1" applyAlignment="1">
      <alignment vertical="center" wrapText="1"/>
    </xf>
    <xf numFmtId="0" fontId="12" fillId="0" borderId="0" xfId="0" applyFont="1" applyAlignment="1">
      <alignment horizontal="left" wrapText="1"/>
    </xf>
    <xf numFmtId="0" fontId="10" fillId="0" borderId="0" xfId="0" applyFont="1" applyAlignment="1">
      <alignment horizontal="left" wrapText="1" indent="1"/>
    </xf>
    <xf numFmtId="0" fontId="16" fillId="0" borderId="0" xfId="0" applyFont="1" applyAlignment="1">
      <alignment horizontal="left" wrapText="1" indent="1"/>
    </xf>
    <xf numFmtId="0" fontId="12" fillId="0" borderId="2" xfId="0" applyFont="1" applyBorder="1" applyAlignment="1">
      <alignment wrapText="1"/>
    </xf>
    <xf numFmtId="0" fontId="10"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right" vertical="center" wrapText="1"/>
    </xf>
    <xf numFmtId="0" fontId="13" fillId="0" borderId="0" xfId="0" applyFont="1" applyAlignment="1">
      <alignment vertical="center" wrapText="1"/>
    </xf>
    <xf numFmtId="0" fontId="12" fillId="0" borderId="2" xfId="0" applyFont="1" applyBorder="1" applyAlignment="1">
      <alignment horizontal="left" wrapText="1"/>
    </xf>
    <xf numFmtId="0" fontId="12" fillId="0" borderId="0" xfId="0" applyFont="1" applyAlignment="1">
      <alignment horizontal="center" vertical="center" wrapText="1"/>
    </xf>
    <xf numFmtId="0" fontId="12" fillId="0" borderId="2"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indent="1"/>
    </xf>
    <xf numFmtId="0" fontId="4" fillId="0" borderId="3" xfId="0" applyFont="1" applyBorder="1" applyAlignment="1">
      <alignment horizontal="left" wrapText="1" indent="2"/>
    </xf>
    <xf numFmtId="0" fontId="8" fillId="0" borderId="0" xfId="0" applyFont="1" applyAlignment="1">
      <alignment horizontal="left" vertical="center" wrapText="1" indent="5"/>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50" fillId="7" borderId="0" xfId="0" applyFont="1" applyFill="1" applyAlignment="1">
      <alignment horizontal="center" vertical="center"/>
    </xf>
    <xf numFmtId="0" fontId="29" fillId="7" borderId="0" xfId="0" applyFont="1" applyFill="1" applyAlignment="1">
      <alignment horizontal="center"/>
    </xf>
    <xf numFmtId="0" fontId="45" fillId="2" borderId="0" xfId="0" applyFont="1" applyFill="1" applyAlignment="1">
      <alignment horizontal="left" vertical="center" wrapText="1" indent="1"/>
    </xf>
    <xf numFmtId="0" fontId="46" fillId="2" borderId="0" xfId="0" applyFont="1" applyFill="1" applyAlignment="1">
      <alignment horizontal="left" vertical="center" wrapText="1" indent="1"/>
    </xf>
    <xf numFmtId="0" fontId="30" fillId="6" borderId="0" xfId="0" applyFont="1" applyFill="1" applyAlignment="1">
      <alignment horizontal="right" vertical="top" wrapText="1" indent="1"/>
    </xf>
    <xf numFmtId="0" fontId="32" fillId="6" borderId="0" xfId="0" applyFont="1" applyFill="1" applyAlignment="1">
      <alignment horizontal="right" vertical="top" indent="1"/>
    </xf>
    <xf numFmtId="0" fontId="31" fillId="6" borderId="0" xfId="0" applyFont="1" applyFill="1" applyAlignment="1">
      <alignment horizontal="right" vertical="top" wrapText="1" indent="1"/>
    </xf>
    <xf numFmtId="0" fontId="31" fillId="6" borderId="0" xfId="0" applyFont="1" applyFill="1" applyAlignment="1">
      <alignment horizontal="right" indent="1"/>
    </xf>
    <xf numFmtId="0" fontId="35" fillId="0" borderId="0" xfId="0" applyFont="1" applyAlignment="1">
      <alignment horizontal="left" wrapText="1" indent="1"/>
    </xf>
    <xf numFmtId="0" fontId="31" fillId="6" borderId="0" xfId="0" applyFont="1" applyFill="1" applyAlignment="1">
      <alignment horizontal="right" vertical="top" indent="1"/>
    </xf>
    <xf numFmtId="0" fontId="52" fillId="0" borderId="0" xfId="1" applyFont="1" applyBorder="1" applyAlignment="1">
      <alignment horizontal="left" vertical="center" indent="1"/>
    </xf>
    <xf numFmtId="0" fontId="51" fillId="0" borderId="0" xfId="0" applyFont="1" applyAlignment="1">
      <alignment horizontal="left" vertical="center" indent="1"/>
    </xf>
    <xf numFmtId="0" fontId="37" fillId="6" borderId="0" xfId="0" applyFont="1" applyFill="1" applyAlignment="1">
      <alignment horizontal="right" vertical="top" wrapText="1" indent="1"/>
    </xf>
    <xf numFmtId="0" fontId="33" fillId="6" borderId="0" xfId="0" applyFont="1" applyFill="1" applyAlignment="1">
      <alignment horizontal="right" vertical="top" wrapText="1" indent="1"/>
    </xf>
    <xf numFmtId="0" fontId="4" fillId="2" borderId="0" xfId="0" applyFont="1" applyFill="1"/>
    <xf numFmtId="0" fontId="0" fillId="2" borderId="0" xfId="0" applyFill="1"/>
    <xf numFmtId="0" fontId="28" fillId="5" borderId="0" xfId="0" applyFont="1" applyFill="1" applyAlignment="1">
      <alignment horizontal="left" indent="1"/>
    </xf>
    <xf numFmtId="0" fontId="29" fillId="5" borderId="0" xfId="0" applyFont="1" applyFill="1" applyAlignment="1">
      <alignment horizontal="left" indent="1"/>
    </xf>
    <xf numFmtId="0" fontId="35" fillId="5" borderId="0" xfId="0" applyFont="1" applyFill="1" applyAlignment="1">
      <alignment horizontal="left" wrapText="1"/>
    </xf>
    <xf numFmtId="0" fontId="39" fillId="4" borderId="0" xfId="0" applyFont="1" applyFill="1" applyAlignment="1">
      <alignment horizontal="center" vertical="center"/>
    </xf>
    <xf numFmtId="0" fontId="40" fillId="0" borderId="0" xfId="0" applyFont="1" applyAlignment="1">
      <alignment horizontal="center" vertical="top"/>
    </xf>
    <xf numFmtId="0" fontId="35" fillId="0" borderId="0" xfId="0" applyFont="1" applyAlignment="1">
      <alignment horizontal="left" vertical="top" wrapText="1" indent="1"/>
    </xf>
    <xf numFmtId="0" fontId="32" fillId="0" borderId="0" xfId="0" applyFont="1" applyAlignment="1">
      <alignment horizontal="left" indent="1"/>
    </xf>
    <xf numFmtId="0" fontId="32" fillId="0" borderId="0" xfId="0" applyFont="1" applyAlignment="1">
      <alignment horizontal="left" vertical="top" wrapText="1" indent="1"/>
    </xf>
    <xf numFmtId="0" fontId="35" fillId="6" borderId="0" xfId="0" applyFont="1" applyFill="1" applyAlignment="1">
      <alignment horizontal="right" vertical="top" wrapText="1" indent="1"/>
    </xf>
    <xf numFmtId="0" fontId="32" fillId="6" borderId="0" xfId="0" applyFont="1" applyFill="1" applyAlignment="1">
      <alignment horizontal="right" vertical="top" wrapText="1" indent="1"/>
    </xf>
    <xf numFmtId="0" fontId="54" fillId="6" borderId="0" xfId="1" applyFont="1" applyFill="1" applyAlignment="1">
      <alignment horizontal="right" vertical="center" wrapText="1" indent="1"/>
    </xf>
    <xf numFmtId="164" fontId="35" fillId="0" borderId="0" xfId="0" applyNumberFormat="1" applyFont="1" applyAlignment="1">
      <alignment horizontal="left"/>
    </xf>
    <xf numFmtId="0" fontId="30" fillId="6" borderId="0" xfId="0" applyFont="1" applyFill="1" applyAlignment="1">
      <alignment horizontal="right" vertical="top" wrapText="1"/>
    </xf>
    <xf numFmtId="0" fontId="33" fillId="6" borderId="0" xfId="0" applyFont="1" applyFill="1" applyAlignment="1">
      <alignment horizontal="right" vertical="top" wrapText="1"/>
    </xf>
    <xf numFmtId="0" fontId="32" fillId="6" borderId="0" xfId="0" applyFont="1" applyFill="1" applyAlignment="1">
      <alignment horizontal="right" vertical="top"/>
    </xf>
    <xf numFmtId="0" fontId="32" fillId="6" borderId="0" xfId="0" applyFont="1" applyFill="1"/>
    <xf numFmtId="0" fontId="41" fillId="8" borderId="0" xfId="0" applyFont="1" applyFill="1" applyAlignment="1">
      <alignment horizontal="center"/>
    </xf>
    <xf numFmtId="0" fontId="36" fillId="6" borderId="0" xfId="0" applyFont="1" applyFill="1" applyAlignment="1">
      <alignment horizontal="right" vertical="top" wrapText="1" indent="1"/>
    </xf>
    <xf numFmtId="0" fontId="42" fillId="0" borderId="0" xfId="0" applyFont="1" applyAlignment="1">
      <alignment horizontal="center" vertical="top"/>
    </xf>
    <xf numFmtId="0" fontId="0" fillId="0" borderId="0" xfId="0" applyAlignment="1">
      <alignment horizontal="left" indent="1"/>
    </xf>
    <xf numFmtId="0" fontId="4" fillId="3" borderId="0" xfId="0" applyFont="1" applyFill="1" applyAlignment="1">
      <alignment horizontal="left"/>
    </xf>
    <xf numFmtId="0" fontId="0" fillId="3" borderId="0" xfId="0" applyFill="1" applyAlignment="1">
      <alignment horizontal="left"/>
    </xf>
    <xf numFmtId="0" fontId="53" fillId="5" borderId="0" xfId="1" applyFont="1" applyFill="1" applyAlignment="1">
      <alignment horizontal="left" indent="3"/>
    </xf>
    <xf numFmtId="0" fontId="53" fillId="5" borderId="0" xfId="0" applyFont="1" applyFill="1" applyAlignment="1">
      <alignment horizontal="left" indent="3"/>
    </xf>
    <xf numFmtId="49" fontId="35" fillId="5" borderId="0" xfId="0" quotePrefix="1" applyNumberFormat="1" applyFont="1" applyFill="1" applyAlignment="1">
      <alignment horizontal="left" indent="3"/>
    </xf>
    <xf numFmtId="0" fontId="45" fillId="0" borderId="0" xfId="0" applyFont="1" applyAlignment="1">
      <alignment horizontal="left" vertical="center" wrapText="1" indent="1"/>
    </xf>
    <xf numFmtId="0" fontId="46" fillId="0" borderId="0" xfId="0" applyFont="1" applyAlignment="1">
      <alignment horizontal="left" vertical="center" wrapText="1" indent="1"/>
    </xf>
    <xf numFmtId="0" fontId="35" fillId="5" borderId="0" xfId="0" applyFont="1" applyFill="1" applyAlignment="1">
      <alignment horizontal="center"/>
    </xf>
    <xf numFmtId="164" fontId="36" fillId="9" borderId="0" xfId="0" applyNumberFormat="1" applyFont="1" applyFill="1" applyAlignment="1">
      <alignment horizontal="center" vertical="center"/>
    </xf>
    <xf numFmtId="0" fontId="35" fillId="0" borderId="0" xfId="0" applyFont="1" applyAlignment="1">
      <alignment horizontal="left" vertical="center" wrapText="1" indent="1"/>
    </xf>
    <xf numFmtId="0" fontId="50" fillId="7" borderId="9" xfId="0" applyFont="1" applyFill="1" applyBorder="1" applyAlignment="1">
      <alignment horizontal="center" vertical="center"/>
    </xf>
    <xf numFmtId="0" fontId="29" fillId="7" borderId="9" xfId="0" applyFont="1" applyFill="1" applyBorder="1" applyAlignment="1">
      <alignment horizontal="center"/>
    </xf>
    <xf numFmtId="0" fontId="54" fillId="6" borderId="0" xfId="1" applyFont="1" applyFill="1" applyBorder="1" applyAlignment="1">
      <alignment horizontal="right" vertical="center" wrapText="1" indent="1"/>
    </xf>
    <xf numFmtId="0" fontId="35" fillId="5" borderId="0" xfId="0" applyFont="1" applyFill="1" applyAlignment="1">
      <alignment horizontal="left" indent="3"/>
    </xf>
    <xf numFmtId="0" fontId="4" fillId="2" borderId="7" xfId="0" applyFont="1" applyFill="1" applyBorder="1"/>
    <xf numFmtId="0" fontId="58" fillId="3" borderId="0" xfId="0" applyFont="1" applyFill="1" applyAlignment="1">
      <alignment horizontal="right" wrapText="1" indent="1"/>
    </xf>
    <xf numFmtId="0" fontId="57" fillId="3" borderId="0" xfId="0" applyFont="1" applyFill="1" applyAlignment="1">
      <alignment horizontal="right" indent="1"/>
    </xf>
    <xf numFmtId="0" fontId="35" fillId="5" borderId="0" xfId="0" applyFont="1" applyFill="1" applyAlignment="1">
      <alignment horizontal="left" vertical="top" wrapText="1"/>
    </xf>
    <xf numFmtId="0" fontId="39" fillId="4" borderId="0" xfId="0" applyFont="1" applyFill="1" applyAlignment="1">
      <alignment horizontal="center"/>
    </xf>
    <xf numFmtId="0" fontId="32" fillId="6" borderId="0" xfId="0" applyFont="1" applyFill="1" applyAlignment="1">
      <alignment horizontal="right" indent="1"/>
    </xf>
    <xf numFmtId="0" fontId="62" fillId="10" borderId="0" xfId="0" applyFont="1" applyFill="1" applyAlignment="1">
      <alignment horizontal="left" vertical="top" indent="1"/>
    </xf>
    <xf numFmtId="0" fontId="63" fillId="10" borderId="0" xfId="0" applyFont="1" applyFill="1" applyAlignment="1">
      <alignment horizontal="left" vertical="top" indent="1"/>
    </xf>
    <xf numFmtId="0" fontId="52" fillId="0" borderId="0" xfId="1" applyFont="1" applyBorder="1" applyAlignment="1">
      <alignment horizontal="left" vertical="top" indent="1"/>
    </xf>
    <xf numFmtId="0" fontId="51" fillId="0" borderId="0" xfId="0" applyFont="1" applyAlignment="1">
      <alignment horizontal="left" vertical="top" indent="1"/>
    </xf>
    <xf numFmtId="0" fontId="4" fillId="2" borderId="5" xfId="0" applyFont="1" applyFill="1" applyBorder="1"/>
    <xf numFmtId="0" fontId="70" fillId="8" borderId="0" xfId="0" applyFont="1" applyFill="1" applyAlignment="1">
      <alignment horizontal="center"/>
    </xf>
    <xf numFmtId="0" fontId="35" fillId="0" borderId="12" xfId="0" applyFont="1" applyBorder="1" applyAlignment="1">
      <alignment horizontal="left" vertical="top" wrapText="1" indent="1"/>
    </xf>
    <xf numFmtId="0" fontId="0" fillId="0" borderId="0" xfId="0" applyAlignment="1">
      <alignment horizontal="right" vertical="top" indent="1"/>
    </xf>
    <xf numFmtId="0" fontId="68" fillId="0" borderId="0" xfId="0" applyFont="1" applyAlignment="1">
      <alignment horizontal="left" vertical="top" indent="9"/>
    </xf>
    <xf numFmtId="0" fontId="68" fillId="0" borderId="0" xfId="0" applyFont="1" applyAlignment="1">
      <alignment horizontal="left" indent="9"/>
    </xf>
    <xf numFmtId="0" fontId="67" fillId="10" borderId="0" xfId="0" applyFont="1" applyFill="1" applyAlignment="1">
      <alignment horizontal="left" vertical="top" indent="1"/>
    </xf>
    <xf numFmtId="0" fontId="64" fillId="3" borderId="0" xfId="0" applyFont="1" applyFill="1" applyAlignment="1">
      <alignment horizontal="right" wrapText="1" indent="1"/>
    </xf>
    <xf numFmtId="0" fontId="66" fillId="3" borderId="0" xfId="0" applyFont="1" applyFill="1" applyAlignment="1">
      <alignment horizontal="right" indent="1"/>
    </xf>
    <xf numFmtId="0" fontId="36" fillId="0" borderId="12" xfId="0" applyFont="1" applyBorder="1" applyAlignment="1">
      <alignment horizontal="left" vertical="top" wrapText="1" indent="1"/>
    </xf>
    <xf numFmtId="0" fontId="59" fillId="0" borderId="12" xfId="0" applyFont="1" applyBorder="1" applyAlignment="1">
      <alignment horizontal="left" vertical="top" wrapText="1" indent="1"/>
    </xf>
    <xf numFmtId="0" fontId="59" fillId="0" borderId="0" xfId="0" applyFont="1" applyAlignment="1">
      <alignment horizontal="left" vertical="top" wrapText="1" indent="1"/>
    </xf>
    <xf numFmtId="0" fontId="71" fillId="0" borderId="0" xfId="0" applyFont="1" applyAlignment="1">
      <alignment horizontal="left" vertical="top"/>
    </xf>
    <xf numFmtId="0" fontId="71" fillId="0" borderId="0" xfId="0" applyFont="1"/>
    <xf numFmtId="0" fontId="0" fillId="0" borderId="0" xfId="0" applyAlignment="1">
      <alignment horizontal="left" vertical="top" wrapText="1" indent="1"/>
    </xf>
    <xf numFmtId="0" fontId="0" fillId="0" borderId="0" xfId="0" applyAlignment="1">
      <alignment horizontal="left" vertical="top" indent="1"/>
    </xf>
    <xf numFmtId="0" fontId="0" fillId="0" borderId="0" xfId="0" applyAlignment="1">
      <alignment horizontal="right" vertical="top" wrapText="1" indent="1"/>
    </xf>
    <xf numFmtId="0" fontId="0" fillId="0" borderId="0" xfId="0" applyAlignment="1">
      <alignment horizontal="right" indent="1"/>
    </xf>
    <xf numFmtId="0" fontId="48" fillId="0" borderId="0" xfId="0" applyFont="1" applyAlignment="1">
      <alignment horizontal="left" indent="6"/>
    </xf>
    <xf numFmtId="0" fontId="62" fillId="10" borderId="10" xfId="0" applyFont="1" applyFill="1" applyBorder="1" applyAlignment="1">
      <alignment horizontal="left" vertical="top" indent="1"/>
    </xf>
    <xf numFmtId="0" fontId="67" fillId="10" borderId="10" xfId="0" applyFont="1" applyFill="1" applyBorder="1" applyAlignment="1">
      <alignment horizontal="left" vertical="top" indent="1"/>
    </xf>
    <xf numFmtId="0" fontId="36" fillId="0" borderId="0" xfId="0" applyFont="1" applyAlignment="1">
      <alignment horizontal="left" vertical="top" wrapText="1" indent="1"/>
    </xf>
    <xf numFmtId="0" fontId="63" fillId="10" borderId="10" xfId="0" applyFont="1" applyFill="1" applyBorder="1" applyAlignment="1">
      <alignment horizontal="left" vertical="top" indent="1"/>
    </xf>
    <xf numFmtId="0" fontId="68" fillId="0" borderId="11" xfId="0" applyFont="1" applyBorder="1" applyAlignment="1">
      <alignment horizontal="left" vertical="top" indent="9"/>
    </xf>
    <xf numFmtId="0" fontId="68" fillId="0" borderId="11" xfId="0" applyFont="1" applyBorder="1" applyAlignment="1">
      <alignment horizontal="left" indent="9"/>
    </xf>
    <xf numFmtId="0" fontId="69" fillId="0" borderId="11" xfId="0" applyFont="1" applyBorder="1" applyAlignment="1">
      <alignment horizontal="left" vertical="top"/>
    </xf>
    <xf numFmtId="0" fontId="69" fillId="0" borderId="11" xfId="0" applyFont="1" applyBorder="1"/>
    <xf numFmtId="0" fontId="30" fillId="6" borderId="12" xfId="0" applyFont="1" applyFill="1" applyBorder="1" applyAlignment="1">
      <alignment horizontal="right" vertical="top" wrapText="1" indent="1"/>
    </xf>
    <xf numFmtId="0" fontId="32" fillId="6" borderId="12" xfId="0" applyFont="1" applyFill="1" applyBorder="1" applyAlignment="1">
      <alignment horizontal="right" vertical="top" indent="1"/>
    </xf>
    <xf numFmtId="164" fontId="31" fillId="9" borderId="0" xfId="0" applyNumberFormat="1" applyFont="1" applyFill="1" applyAlignment="1">
      <alignment horizontal="center" vertical="center"/>
    </xf>
    <xf numFmtId="0" fontId="0" fillId="0" borderId="15" xfId="0" applyBorder="1"/>
    <xf numFmtId="0" fontId="35" fillId="6" borderId="12" xfId="0" applyFont="1" applyFill="1" applyBorder="1" applyAlignment="1">
      <alignment horizontal="right" vertical="top" wrapText="1" indent="1"/>
    </xf>
    <xf numFmtId="0" fontId="37" fillId="6" borderId="12" xfId="0" applyFont="1" applyFill="1" applyBorder="1" applyAlignment="1">
      <alignment horizontal="right" vertical="top" wrapText="1" indent="1"/>
    </xf>
    <xf numFmtId="0" fontId="33" fillId="6" borderId="12" xfId="0" applyFont="1" applyFill="1" applyBorder="1" applyAlignment="1">
      <alignment horizontal="right" vertical="top" wrapText="1" indent="1"/>
    </xf>
    <xf numFmtId="0" fontId="62" fillId="10" borderId="12" xfId="0" applyFont="1" applyFill="1" applyBorder="1" applyAlignment="1">
      <alignment horizontal="left" vertical="top" indent="1"/>
    </xf>
    <xf numFmtId="0" fontId="63" fillId="10" borderId="12" xfId="0" applyFont="1" applyFill="1" applyBorder="1" applyAlignment="1">
      <alignment horizontal="left" vertical="top" indent="1"/>
    </xf>
    <xf numFmtId="0" fontId="0" fillId="0" borderId="12" xfId="0" applyBorder="1"/>
    <xf numFmtId="0" fontId="0" fillId="0" borderId="0" xfId="0"/>
    <xf numFmtId="0" fontId="0" fillId="2" borderId="15" xfId="0" applyFill="1" applyBorder="1"/>
    <xf numFmtId="0" fontId="72" fillId="11" borderId="0" xfId="0" applyFont="1" applyFill="1" applyAlignment="1">
      <alignment horizontal="center" vertical="center"/>
    </xf>
    <xf numFmtId="0" fontId="62" fillId="0" borderId="0" xfId="0" applyFont="1" applyAlignment="1">
      <alignment horizontal="left" vertical="top" indent="1"/>
    </xf>
    <xf numFmtId="0" fontId="63" fillId="0" borderId="0" xfId="0" applyFont="1" applyAlignment="1">
      <alignment horizontal="left" vertical="top" indent="1"/>
    </xf>
    <xf numFmtId="0" fontId="31" fillId="6" borderId="15" xfId="0" applyFont="1" applyFill="1" applyBorder="1" applyAlignment="1">
      <alignment horizontal="right" vertical="top" wrapText="1" indent="1"/>
    </xf>
    <xf numFmtId="0" fontId="30" fillId="6" borderId="16" xfId="0" applyFont="1" applyFill="1" applyBorder="1" applyAlignment="1">
      <alignment horizontal="right" vertical="top" wrapText="1" indent="1"/>
    </xf>
    <xf numFmtId="0" fontId="62" fillId="0" borderId="16" xfId="0" applyFont="1" applyBorder="1" applyAlignment="1">
      <alignment horizontal="left" vertical="top" indent="1"/>
    </xf>
    <xf numFmtId="0" fontId="63" fillId="0" borderId="16" xfId="0" applyFont="1" applyBorder="1" applyAlignment="1">
      <alignment horizontal="left" vertical="top" indent="1"/>
    </xf>
    <xf numFmtId="0" fontId="0" fillId="0" borderId="15" xfId="0" applyBorder="1" applyAlignment="1">
      <alignment horizontal="left" vertical="top" wrapText="1" indent="1"/>
    </xf>
    <xf numFmtId="0" fontId="67" fillId="0" borderId="0" xfId="0" applyFont="1" applyAlignment="1">
      <alignment horizontal="left" vertical="top" indent="1"/>
    </xf>
    <xf numFmtId="0" fontId="37" fillId="6" borderId="16" xfId="0" applyFont="1" applyFill="1" applyBorder="1" applyAlignment="1">
      <alignment horizontal="right" vertical="top" wrapText="1" indent="1"/>
    </xf>
    <xf numFmtId="0" fontId="33" fillId="6" borderId="16" xfId="0" applyFont="1" applyFill="1" applyBorder="1" applyAlignment="1">
      <alignment horizontal="right" vertical="top" wrapText="1" indent="1"/>
    </xf>
    <xf numFmtId="0" fontId="0" fillId="2" borderId="12" xfId="0" applyFill="1" applyBorder="1"/>
    <xf numFmtId="0" fontId="62" fillId="0" borderId="12" xfId="0" applyFont="1" applyBorder="1" applyAlignment="1">
      <alignment horizontal="left" vertical="top" indent="1"/>
    </xf>
    <xf numFmtId="0" fontId="74" fillId="13" borderId="6" xfId="0" applyFont="1" applyFill="1" applyBorder="1" applyAlignment="1">
      <alignment horizontal="left" vertical="top"/>
    </xf>
    <xf numFmtId="0" fontId="74" fillId="13" borderId="0" xfId="0" applyFont="1" applyFill="1" applyAlignment="1">
      <alignment horizontal="left" vertical="top"/>
    </xf>
    <xf numFmtId="0" fontId="0" fillId="13" borderId="19" xfId="0" applyFill="1" applyBorder="1" applyAlignment="1">
      <alignment horizontal="center" vertical="center"/>
    </xf>
    <xf numFmtId="0" fontId="84" fillId="0" borderId="0" xfId="0" applyFont="1" applyAlignment="1">
      <alignment horizontal="left" indent="3"/>
    </xf>
    <xf numFmtId="0" fontId="0" fillId="0" borderId="0" xfId="0" applyAlignment="1">
      <alignment horizontal="left"/>
    </xf>
    <xf numFmtId="0" fontId="0" fillId="15" borderId="0" xfId="0" applyFill="1" applyAlignment="1">
      <alignment horizontal="center" vertical="center"/>
    </xf>
    <xf numFmtId="0" fontId="87" fillId="14" borderId="0" xfId="0" applyFont="1" applyFill="1" applyAlignment="1">
      <alignment horizontal="right" indent="4"/>
    </xf>
    <xf numFmtId="0" fontId="0" fillId="14" borderId="0" xfId="0" applyFill="1" applyAlignment="1">
      <alignment horizontal="right" indent="4"/>
    </xf>
    <xf numFmtId="0" fontId="73" fillId="18" borderId="0" xfId="0" applyFont="1" applyFill="1" applyAlignment="1">
      <alignment horizontal="left" vertical="center" indent="1"/>
    </xf>
    <xf numFmtId="0" fontId="73" fillId="18" borderId="0" xfId="0" applyFont="1" applyFill="1" applyAlignment="1">
      <alignment horizontal="left" indent="1"/>
    </xf>
    <xf numFmtId="0" fontId="0" fillId="18" borderId="0" xfId="0" applyFill="1" applyAlignment="1">
      <alignment horizontal="left" vertical="center" indent="1"/>
    </xf>
    <xf numFmtId="0" fontId="0" fillId="18" borderId="0" xfId="0" applyFill="1" applyAlignment="1">
      <alignment horizontal="left" indent="1"/>
    </xf>
    <xf numFmtId="0" fontId="0" fillId="15" borderId="0" xfId="0" applyFill="1" applyAlignment="1">
      <alignment horizontal="left" vertical="center" wrapText="1"/>
    </xf>
    <xf numFmtId="0" fontId="93" fillId="16" borderId="0" xfId="0" quotePrefix="1" applyFont="1" applyFill="1" applyAlignment="1">
      <alignment horizontal="center" vertical="top"/>
    </xf>
    <xf numFmtId="0" fontId="95" fillId="0" borderId="0" xfId="0" applyFont="1" applyAlignment="1">
      <alignment horizontal="center" vertical="top"/>
    </xf>
    <xf numFmtId="0" fontId="91" fillId="0" borderId="0" xfId="0" applyFont="1" applyAlignment="1">
      <alignment vertical="center" wrapText="1"/>
    </xf>
    <xf numFmtId="0" fontId="0" fillId="0" borderId="0" xfId="0" applyAlignment="1">
      <alignment vertical="center" wrapText="1"/>
    </xf>
    <xf numFmtId="0" fontId="73" fillId="18" borderId="0" xfId="0" applyFont="1" applyFill="1" applyAlignment="1">
      <alignment vertical="center"/>
    </xf>
    <xf numFmtId="0" fontId="0" fillId="18" borderId="0" xfId="0" applyFill="1"/>
    <xf numFmtId="0" fontId="0" fillId="18" borderId="0" xfId="0" applyFill="1" applyAlignment="1">
      <alignment horizontal="left" indent="3"/>
    </xf>
    <xf numFmtId="0" fontId="0" fillId="0" borderId="0" xfId="0" applyAlignment="1">
      <alignment vertical="top"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2.png"/><Relationship Id="rId7" Type="http://schemas.openxmlformats.org/officeDocument/2006/relationships/image" Target="../media/image9.png"/><Relationship Id="rId2" Type="http://schemas.microsoft.com/office/2007/relationships/hdphoto" Target="../media/hdphoto1.wdp"/><Relationship Id="rId1" Type="http://schemas.openxmlformats.org/officeDocument/2006/relationships/image" Target="../media/image7.png"/><Relationship Id="rId6" Type="http://schemas.openxmlformats.org/officeDocument/2006/relationships/image" Target="../media/image4.png"/><Relationship Id="rId5" Type="http://schemas.microsoft.com/office/2007/relationships/hdphoto" Target="../media/hdphoto2.wdp"/><Relationship Id="rId4" Type="http://schemas.openxmlformats.org/officeDocument/2006/relationships/image" Target="../media/image8.png"/><Relationship Id="rId9"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2.png"/><Relationship Id="rId7" Type="http://schemas.openxmlformats.org/officeDocument/2006/relationships/image" Target="../media/image9.png"/><Relationship Id="rId2" Type="http://schemas.microsoft.com/office/2007/relationships/hdphoto" Target="../media/hdphoto1.wdp"/><Relationship Id="rId1" Type="http://schemas.openxmlformats.org/officeDocument/2006/relationships/image" Target="../media/image7.png"/><Relationship Id="rId6" Type="http://schemas.openxmlformats.org/officeDocument/2006/relationships/image" Target="../media/image4.png"/><Relationship Id="rId5" Type="http://schemas.microsoft.com/office/2007/relationships/hdphoto" Target="../media/hdphoto2.wdp"/><Relationship Id="rId10" Type="http://schemas.microsoft.com/office/2007/relationships/hdphoto" Target="../media/hdphoto4.wdp"/><Relationship Id="rId4" Type="http://schemas.openxmlformats.org/officeDocument/2006/relationships/image" Target="../media/image8.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2.png"/><Relationship Id="rId7" Type="http://schemas.openxmlformats.org/officeDocument/2006/relationships/image" Target="../media/image9.png"/><Relationship Id="rId2" Type="http://schemas.microsoft.com/office/2007/relationships/hdphoto" Target="../media/hdphoto1.wdp"/><Relationship Id="rId1" Type="http://schemas.openxmlformats.org/officeDocument/2006/relationships/image" Target="../media/image7.png"/><Relationship Id="rId6" Type="http://schemas.openxmlformats.org/officeDocument/2006/relationships/image" Target="../media/image4.png"/><Relationship Id="rId5" Type="http://schemas.microsoft.com/office/2007/relationships/hdphoto" Target="../media/hdphoto2.wdp"/><Relationship Id="rId10" Type="http://schemas.microsoft.com/office/2007/relationships/hdphoto" Target="../media/hdphoto4.wdp"/><Relationship Id="rId4" Type="http://schemas.openxmlformats.org/officeDocument/2006/relationships/image" Target="../media/image8.png"/><Relationship Id="rId9"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2.png"/><Relationship Id="rId7" Type="http://schemas.openxmlformats.org/officeDocument/2006/relationships/image" Target="../media/image9.png"/><Relationship Id="rId2" Type="http://schemas.microsoft.com/office/2007/relationships/hdphoto" Target="../media/hdphoto1.wdp"/><Relationship Id="rId1" Type="http://schemas.openxmlformats.org/officeDocument/2006/relationships/image" Target="../media/image7.png"/><Relationship Id="rId6" Type="http://schemas.openxmlformats.org/officeDocument/2006/relationships/image" Target="../media/image4.png"/><Relationship Id="rId5" Type="http://schemas.microsoft.com/office/2007/relationships/hdphoto" Target="../media/hdphoto2.wdp"/><Relationship Id="rId10" Type="http://schemas.microsoft.com/office/2007/relationships/hdphoto" Target="../media/hdphoto5.wdp"/><Relationship Id="rId4" Type="http://schemas.openxmlformats.org/officeDocument/2006/relationships/image" Target="../media/image8.png"/><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8" Type="http://schemas.microsoft.com/office/2007/relationships/hdphoto" Target="../media/hdphoto3.wdp"/><Relationship Id="rId3" Type="http://schemas.openxmlformats.org/officeDocument/2006/relationships/image" Target="../media/image2.png"/><Relationship Id="rId7" Type="http://schemas.openxmlformats.org/officeDocument/2006/relationships/image" Target="../media/image9.png"/><Relationship Id="rId2" Type="http://schemas.microsoft.com/office/2007/relationships/hdphoto" Target="../media/hdphoto1.wdp"/><Relationship Id="rId1" Type="http://schemas.openxmlformats.org/officeDocument/2006/relationships/image" Target="../media/image7.png"/><Relationship Id="rId6" Type="http://schemas.openxmlformats.org/officeDocument/2006/relationships/image" Target="../media/image4.png"/><Relationship Id="rId5" Type="http://schemas.microsoft.com/office/2007/relationships/hdphoto" Target="../media/hdphoto2.wdp"/><Relationship Id="rId10" Type="http://schemas.microsoft.com/office/2007/relationships/hdphoto" Target="../media/hdphoto5.wdp"/><Relationship Id="rId4" Type="http://schemas.openxmlformats.org/officeDocument/2006/relationships/image" Target="../media/image8.png"/><Relationship Id="rId9" Type="http://schemas.openxmlformats.org/officeDocument/2006/relationships/image" Target="../media/image12.png"/></Relationships>
</file>

<file path=xl/drawings/_rels/drawing7.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4.png"/><Relationship Id="rId18" Type="http://schemas.openxmlformats.org/officeDocument/2006/relationships/image" Target="../media/image29.svg"/><Relationship Id="rId26" Type="http://schemas.openxmlformats.org/officeDocument/2006/relationships/image" Target="../media/image37.svg"/><Relationship Id="rId3" Type="http://schemas.openxmlformats.org/officeDocument/2006/relationships/image" Target="../media/image14.png"/><Relationship Id="rId21" Type="http://schemas.openxmlformats.org/officeDocument/2006/relationships/image" Target="../media/image32.png"/><Relationship Id="rId7" Type="http://schemas.openxmlformats.org/officeDocument/2006/relationships/image" Target="../media/image18.png"/><Relationship Id="rId12" Type="http://schemas.openxmlformats.org/officeDocument/2006/relationships/image" Target="../media/image23.svg"/><Relationship Id="rId17" Type="http://schemas.openxmlformats.org/officeDocument/2006/relationships/image" Target="../media/image28.png"/><Relationship Id="rId25" Type="http://schemas.openxmlformats.org/officeDocument/2006/relationships/image" Target="../media/image36.png"/><Relationship Id="rId2" Type="http://schemas.microsoft.com/office/2007/relationships/hdphoto" Target="../media/hdphoto6.wdp"/><Relationship Id="rId16" Type="http://schemas.openxmlformats.org/officeDocument/2006/relationships/image" Target="../media/image27.svg"/><Relationship Id="rId20" Type="http://schemas.openxmlformats.org/officeDocument/2006/relationships/image" Target="../media/image31.svg"/><Relationship Id="rId1" Type="http://schemas.openxmlformats.org/officeDocument/2006/relationships/image" Target="../media/image13.png"/><Relationship Id="rId6" Type="http://schemas.openxmlformats.org/officeDocument/2006/relationships/image" Target="../media/image17.svg"/><Relationship Id="rId11" Type="http://schemas.openxmlformats.org/officeDocument/2006/relationships/image" Target="../media/image22.png"/><Relationship Id="rId24" Type="http://schemas.openxmlformats.org/officeDocument/2006/relationships/image" Target="../media/image35.svg"/><Relationship Id="rId5" Type="http://schemas.openxmlformats.org/officeDocument/2006/relationships/image" Target="../media/image16.png"/><Relationship Id="rId15" Type="http://schemas.openxmlformats.org/officeDocument/2006/relationships/image" Target="../media/image26.png"/><Relationship Id="rId23" Type="http://schemas.openxmlformats.org/officeDocument/2006/relationships/image" Target="../media/image34.png"/><Relationship Id="rId10" Type="http://schemas.openxmlformats.org/officeDocument/2006/relationships/image" Target="../media/image21.svg"/><Relationship Id="rId19" Type="http://schemas.openxmlformats.org/officeDocument/2006/relationships/image" Target="../media/image30.png"/><Relationship Id="rId4" Type="http://schemas.openxmlformats.org/officeDocument/2006/relationships/image" Target="../media/image15.svg"/><Relationship Id="rId9" Type="http://schemas.openxmlformats.org/officeDocument/2006/relationships/image" Target="../media/image20.png"/><Relationship Id="rId14" Type="http://schemas.openxmlformats.org/officeDocument/2006/relationships/image" Target="../media/image25.svg"/><Relationship Id="rId22" Type="http://schemas.openxmlformats.org/officeDocument/2006/relationships/image" Target="../media/image33.svg"/></Relationships>
</file>

<file path=xl/drawings/_rels/drawing8.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image" Target="../media/image26.png"/><Relationship Id="rId18" Type="http://schemas.openxmlformats.org/officeDocument/2006/relationships/image" Target="../media/image31.svg"/><Relationship Id="rId3" Type="http://schemas.openxmlformats.org/officeDocument/2006/relationships/image" Target="../media/image14.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svg"/><Relationship Id="rId17" Type="http://schemas.openxmlformats.org/officeDocument/2006/relationships/image" Target="../media/image30.png"/><Relationship Id="rId2" Type="http://schemas.microsoft.com/office/2007/relationships/hdphoto" Target="../media/hdphoto6.wdp"/><Relationship Id="rId16" Type="http://schemas.openxmlformats.org/officeDocument/2006/relationships/image" Target="../media/image29.svg"/><Relationship Id="rId20" Type="http://schemas.openxmlformats.org/officeDocument/2006/relationships/image" Target="../media/image33.svg"/><Relationship Id="rId1" Type="http://schemas.openxmlformats.org/officeDocument/2006/relationships/image" Target="../media/image13.png"/><Relationship Id="rId6" Type="http://schemas.openxmlformats.org/officeDocument/2006/relationships/image" Target="../media/image19.svg"/><Relationship Id="rId11" Type="http://schemas.openxmlformats.org/officeDocument/2006/relationships/image" Target="../media/image24.png"/><Relationship Id="rId24" Type="http://schemas.openxmlformats.org/officeDocument/2006/relationships/image" Target="../media/image37.svg"/><Relationship Id="rId5" Type="http://schemas.openxmlformats.org/officeDocument/2006/relationships/image" Target="../media/image18.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image" Target="../media/image23.svg"/><Relationship Id="rId19" Type="http://schemas.openxmlformats.org/officeDocument/2006/relationships/image" Target="../media/image32.png"/><Relationship Id="rId4" Type="http://schemas.openxmlformats.org/officeDocument/2006/relationships/image" Target="../media/image15.svg"/><Relationship Id="rId9" Type="http://schemas.openxmlformats.org/officeDocument/2006/relationships/image" Target="../media/image22.png"/><Relationship Id="rId14" Type="http://schemas.openxmlformats.org/officeDocument/2006/relationships/image" Target="../media/image27.svg"/><Relationship Id="rId22" Type="http://schemas.openxmlformats.org/officeDocument/2006/relationships/image" Target="../media/image35.svg"/></Relationships>
</file>

<file path=xl/drawings/_rels/drawing9.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image" Target="../media/image26.png"/><Relationship Id="rId18" Type="http://schemas.openxmlformats.org/officeDocument/2006/relationships/image" Target="../media/image31.svg"/><Relationship Id="rId3" Type="http://schemas.openxmlformats.org/officeDocument/2006/relationships/image" Target="../media/image14.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svg"/><Relationship Id="rId17" Type="http://schemas.openxmlformats.org/officeDocument/2006/relationships/image" Target="../media/image30.png"/><Relationship Id="rId2" Type="http://schemas.microsoft.com/office/2007/relationships/hdphoto" Target="../media/hdphoto6.wdp"/><Relationship Id="rId16" Type="http://schemas.openxmlformats.org/officeDocument/2006/relationships/image" Target="../media/image29.svg"/><Relationship Id="rId20" Type="http://schemas.openxmlformats.org/officeDocument/2006/relationships/image" Target="../media/image33.svg"/><Relationship Id="rId1" Type="http://schemas.openxmlformats.org/officeDocument/2006/relationships/image" Target="../media/image13.png"/><Relationship Id="rId6" Type="http://schemas.openxmlformats.org/officeDocument/2006/relationships/image" Target="../media/image19.svg"/><Relationship Id="rId11" Type="http://schemas.openxmlformats.org/officeDocument/2006/relationships/image" Target="../media/image24.png"/><Relationship Id="rId24" Type="http://schemas.openxmlformats.org/officeDocument/2006/relationships/image" Target="../media/image37.svg"/><Relationship Id="rId5" Type="http://schemas.openxmlformats.org/officeDocument/2006/relationships/image" Target="../media/image18.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image" Target="../media/image23.svg"/><Relationship Id="rId19" Type="http://schemas.openxmlformats.org/officeDocument/2006/relationships/image" Target="../media/image32.png"/><Relationship Id="rId4" Type="http://schemas.openxmlformats.org/officeDocument/2006/relationships/image" Target="../media/image15.svg"/><Relationship Id="rId9" Type="http://schemas.openxmlformats.org/officeDocument/2006/relationships/image" Target="../media/image22.png"/><Relationship Id="rId14" Type="http://schemas.openxmlformats.org/officeDocument/2006/relationships/image" Target="../media/image27.svg"/><Relationship Id="rId22" Type="http://schemas.openxmlformats.org/officeDocument/2006/relationships/image" Target="../media/image35.svg"/></Relationships>
</file>

<file path=xl/drawings/_rels/drawing10.xml.rels><?xml version="1.0" encoding="UTF-8" standalone="yes"?>
<Relationships xmlns="http://schemas.openxmlformats.org/package/2006/relationships"><Relationship Id="rId8" Type="http://schemas.openxmlformats.org/officeDocument/2006/relationships/image" Target="../media/image27.svg"/><Relationship Id="rId13" Type="http://schemas.openxmlformats.org/officeDocument/2006/relationships/image" Target="../media/image32.png"/><Relationship Id="rId18" Type="http://schemas.openxmlformats.org/officeDocument/2006/relationships/image" Target="../media/image37.svg"/><Relationship Id="rId3" Type="http://schemas.openxmlformats.org/officeDocument/2006/relationships/image" Target="../media/image20.png"/><Relationship Id="rId21" Type="http://schemas.openxmlformats.org/officeDocument/2006/relationships/image" Target="../media/image18.png"/><Relationship Id="rId7" Type="http://schemas.openxmlformats.org/officeDocument/2006/relationships/image" Target="../media/image26.png"/><Relationship Id="rId12" Type="http://schemas.openxmlformats.org/officeDocument/2006/relationships/image" Target="../media/image31.svg"/><Relationship Id="rId17" Type="http://schemas.openxmlformats.org/officeDocument/2006/relationships/image" Target="../media/image36.png"/><Relationship Id="rId2" Type="http://schemas.microsoft.com/office/2007/relationships/hdphoto" Target="../media/hdphoto6.wdp"/><Relationship Id="rId16" Type="http://schemas.openxmlformats.org/officeDocument/2006/relationships/image" Target="../media/image35.svg"/><Relationship Id="rId20" Type="http://schemas.openxmlformats.org/officeDocument/2006/relationships/image" Target="../media/image15.svg"/><Relationship Id="rId1" Type="http://schemas.openxmlformats.org/officeDocument/2006/relationships/image" Target="../media/image38.png"/><Relationship Id="rId6" Type="http://schemas.openxmlformats.org/officeDocument/2006/relationships/image" Target="../media/image25.svg"/><Relationship Id="rId11" Type="http://schemas.openxmlformats.org/officeDocument/2006/relationships/image" Target="../media/image30.png"/><Relationship Id="rId5" Type="http://schemas.openxmlformats.org/officeDocument/2006/relationships/image" Target="../media/image24.png"/><Relationship Id="rId15" Type="http://schemas.openxmlformats.org/officeDocument/2006/relationships/image" Target="../media/image34.png"/><Relationship Id="rId10" Type="http://schemas.openxmlformats.org/officeDocument/2006/relationships/image" Target="../media/image29.svg"/><Relationship Id="rId19" Type="http://schemas.openxmlformats.org/officeDocument/2006/relationships/image" Target="../media/image14.png"/><Relationship Id="rId4" Type="http://schemas.openxmlformats.org/officeDocument/2006/relationships/image" Target="../media/image21.svg"/><Relationship Id="rId9" Type="http://schemas.openxmlformats.org/officeDocument/2006/relationships/image" Target="../media/image28.png"/><Relationship Id="rId14" Type="http://schemas.openxmlformats.org/officeDocument/2006/relationships/image" Target="../media/image33.svg"/><Relationship Id="rId22" Type="http://schemas.openxmlformats.org/officeDocument/2006/relationships/image" Target="../media/image19.svg"/></Relationships>
</file>

<file path=xl/drawings/_rels/drawing11.xml.rels><?xml version="1.0" encoding="UTF-8" standalone="yes"?>
<Relationships xmlns="http://schemas.openxmlformats.org/package/2006/relationships"><Relationship Id="rId8" Type="http://schemas.openxmlformats.org/officeDocument/2006/relationships/image" Target="../media/image29.svg"/><Relationship Id="rId13" Type="http://schemas.openxmlformats.org/officeDocument/2006/relationships/image" Target="../media/image43.png"/><Relationship Id="rId18" Type="http://schemas.openxmlformats.org/officeDocument/2006/relationships/image" Target="../media/image15.svg"/><Relationship Id="rId3" Type="http://schemas.openxmlformats.org/officeDocument/2006/relationships/image" Target="../media/image24.png"/><Relationship Id="rId21" Type="http://schemas.openxmlformats.org/officeDocument/2006/relationships/image" Target="../media/image45.png"/><Relationship Id="rId7" Type="http://schemas.openxmlformats.org/officeDocument/2006/relationships/image" Target="../media/image28.png"/><Relationship Id="rId12" Type="http://schemas.openxmlformats.org/officeDocument/2006/relationships/image" Target="../media/image42.svg"/><Relationship Id="rId17" Type="http://schemas.openxmlformats.org/officeDocument/2006/relationships/image" Target="../media/image14.png"/><Relationship Id="rId2" Type="http://schemas.openxmlformats.org/officeDocument/2006/relationships/image" Target="../media/image21.svg"/><Relationship Id="rId16" Type="http://schemas.openxmlformats.org/officeDocument/2006/relationships/image" Target="../media/image37.svg"/><Relationship Id="rId20" Type="http://schemas.openxmlformats.org/officeDocument/2006/relationships/image" Target="../media/image19.svg"/><Relationship Id="rId1" Type="http://schemas.openxmlformats.org/officeDocument/2006/relationships/image" Target="../media/image20.png"/><Relationship Id="rId6" Type="http://schemas.openxmlformats.org/officeDocument/2006/relationships/image" Target="../media/image27.svg"/><Relationship Id="rId11" Type="http://schemas.openxmlformats.org/officeDocument/2006/relationships/image" Target="../media/image41.png"/><Relationship Id="rId5" Type="http://schemas.openxmlformats.org/officeDocument/2006/relationships/image" Target="../media/image26.png"/><Relationship Id="rId15" Type="http://schemas.openxmlformats.org/officeDocument/2006/relationships/image" Target="../media/image36.png"/><Relationship Id="rId10" Type="http://schemas.openxmlformats.org/officeDocument/2006/relationships/image" Target="../media/image40.svg"/><Relationship Id="rId19" Type="http://schemas.openxmlformats.org/officeDocument/2006/relationships/image" Target="../media/image18.png"/><Relationship Id="rId4" Type="http://schemas.openxmlformats.org/officeDocument/2006/relationships/image" Target="../media/image25.svg"/><Relationship Id="rId9" Type="http://schemas.openxmlformats.org/officeDocument/2006/relationships/image" Target="../media/image39.png"/><Relationship Id="rId14" Type="http://schemas.openxmlformats.org/officeDocument/2006/relationships/image" Target="../media/image44.svg"/><Relationship Id="rId22" Type="http://schemas.microsoft.com/office/2007/relationships/hdphoto" Target="../media/hdphoto7.wdp"/></Relationships>
</file>

<file path=xl/drawings/_rels/drawing12.xml.rels><?xml version="1.0" encoding="UTF-8" standalone="yes"?>
<Relationships xmlns="http://schemas.openxmlformats.org/package/2006/relationships"><Relationship Id="rId3" Type="http://schemas.openxmlformats.org/officeDocument/2006/relationships/image" Target="../media/image47.png"/><Relationship Id="rId2" Type="http://schemas.microsoft.com/office/2007/relationships/hdphoto" Target="../media/hdphoto8.wdp"/><Relationship Id="rId1"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8.png"/><Relationship Id="rId2" Type="http://schemas.microsoft.com/office/2007/relationships/hdphoto" Target="../media/hdphoto8.wdp"/><Relationship Id="rId1" Type="http://schemas.openxmlformats.org/officeDocument/2006/relationships/image" Target="../media/image46.png"/><Relationship Id="rId4"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xdr:from>
      <xdr:col>3</xdr:col>
      <xdr:colOff>85725</xdr:colOff>
      <xdr:row>4</xdr:row>
      <xdr:rowOff>28575</xdr:rowOff>
    </xdr:from>
    <xdr:to>
      <xdr:col>3</xdr:col>
      <xdr:colOff>228600</xdr:colOff>
      <xdr:row>4</xdr:row>
      <xdr:rowOff>171450</xdr:rowOff>
    </xdr:to>
    <xdr:pic>
      <xdr:nvPicPr>
        <xdr:cNvPr id="2" name="Picture 1" descr="Github free icon">
          <a:extLst>
            <a:ext uri="{FF2B5EF4-FFF2-40B4-BE49-F238E27FC236}">
              <a16:creationId xmlns:a16="http://schemas.microsoft.com/office/drawing/2014/main" id="{2139D456-E5BF-6054-6BC2-4CA3F2BBD037}"/>
            </a:ext>
          </a:extLst>
        </xdr:cNvPr>
        <xdr:cNvPicPr>
          <a:picLocks noChangeAspect="1"/>
        </xdr:cNvPicPr>
      </xdr:nvPicPr>
      <xdr:blipFill>
        <a:blip xmlns:r="http://schemas.openxmlformats.org/officeDocument/2006/relationships" r:embed="rId1" cstate="screen">
          <a:duotone>
            <a:schemeClr val="accent2">
              <a:shade val="45000"/>
              <a:satMod val="135000"/>
            </a:schemeClr>
            <a:prstClr val="white"/>
          </a:duotone>
          <a:extLst>
            <a:ext uri="{28A0092B-C50C-407E-A947-70E740481C1C}">
              <a14:useLocalDpi xmlns:a14="http://schemas.microsoft.com/office/drawing/2010/main"/>
            </a:ext>
          </a:extLst>
        </a:blip>
        <a:srcRect/>
        <a:stretch>
          <a:fillRect/>
        </a:stretch>
      </xdr:blipFill>
      <xdr:spPr bwMode="auto">
        <a:xfrm>
          <a:off x="1485900" y="1028700"/>
          <a:ext cx="142875" cy="142875"/>
        </a:xfrm>
        <a:prstGeom prst="rect">
          <a:avLst/>
        </a:prstGeom>
        <a:noFill/>
        <a:ln>
          <a:noFill/>
        </a:ln>
      </xdr:spPr>
    </xdr:pic>
    <xdr:clientData/>
  </xdr:twoCellAnchor>
  <xdr:twoCellAnchor>
    <xdr:from>
      <xdr:col>3</xdr:col>
      <xdr:colOff>85725</xdr:colOff>
      <xdr:row>5</xdr:row>
      <xdr:rowOff>28575</xdr:rowOff>
    </xdr:from>
    <xdr:to>
      <xdr:col>3</xdr:col>
      <xdr:colOff>228600</xdr:colOff>
      <xdr:row>5</xdr:row>
      <xdr:rowOff>171450</xdr:rowOff>
    </xdr:to>
    <xdr:pic>
      <xdr:nvPicPr>
        <xdr:cNvPr id="3" name="Picture 2" descr="Linkedin, social network Icon">
          <a:extLst>
            <a:ext uri="{FF2B5EF4-FFF2-40B4-BE49-F238E27FC236}">
              <a16:creationId xmlns:a16="http://schemas.microsoft.com/office/drawing/2014/main" id="{4FDB1C85-6F60-BD22-1932-B0F7F3808F23}"/>
            </a:ext>
          </a:extLst>
        </xdr:cNvPr>
        <xdr:cNvPicPr>
          <a:picLocks noChangeAspect="1"/>
        </xdr:cNvPicPr>
      </xdr:nvPicPr>
      <xdr:blipFill>
        <a:blip xmlns:r="http://schemas.openxmlformats.org/officeDocument/2006/relationships" r:embed="rId2" cstate="screen">
          <a:duotone>
            <a:schemeClr val="accent2">
              <a:shade val="45000"/>
              <a:satMod val="135000"/>
            </a:schemeClr>
            <a:prstClr val="white"/>
          </a:duotone>
          <a:extLst>
            <a:ext uri="{28A0092B-C50C-407E-A947-70E740481C1C}">
              <a14:useLocalDpi xmlns:a14="http://schemas.microsoft.com/office/drawing/2010/main"/>
            </a:ext>
          </a:extLst>
        </a:blip>
        <a:srcRect/>
        <a:stretch>
          <a:fillRect/>
        </a:stretch>
      </xdr:blipFill>
      <xdr:spPr bwMode="auto">
        <a:xfrm>
          <a:off x="1485900" y="1219200"/>
          <a:ext cx="142875" cy="142875"/>
        </a:xfrm>
        <a:prstGeom prst="rect">
          <a:avLst/>
        </a:prstGeom>
        <a:noFill/>
        <a:ln>
          <a:noFill/>
        </a:ln>
      </xdr:spPr>
    </xdr:pic>
    <xdr:clientData/>
  </xdr:twoCellAnchor>
  <xdr:twoCellAnchor>
    <xdr:from>
      <xdr:col>8</xdr:col>
      <xdr:colOff>133350</xdr:colOff>
      <xdr:row>4</xdr:row>
      <xdr:rowOff>38100</xdr:rowOff>
    </xdr:from>
    <xdr:to>
      <xdr:col>8</xdr:col>
      <xdr:colOff>276225</xdr:colOff>
      <xdr:row>4</xdr:row>
      <xdr:rowOff>180975</xdr:rowOff>
    </xdr:to>
    <xdr:pic>
      <xdr:nvPicPr>
        <xdr:cNvPr id="4" name="Picture 3" descr="Whatsapp free icon">
          <a:extLst>
            <a:ext uri="{FF2B5EF4-FFF2-40B4-BE49-F238E27FC236}">
              <a16:creationId xmlns:a16="http://schemas.microsoft.com/office/drawing/2014/main" id="{9D341AD6-C9E7-FE93-97E7-1F8F8D00CA09}"/>
            </a:ext>
          </a:extLst>
        </xdr:cNvPr>
        <xdr:cNvPicPr>
          <a:picLocks noChangeAspect="1"/>
        </xdr:cNvPicPr>
      </xdr:nvPicPr>
      <xdr:blipFill>
        <a:blip xmlns:r="http://schemas.openxmlformats.org/officeDocument/2006/relationships" r:embed="rId3" cstate="screen">
          <a:duotone>
            <a:schemeClr val="accent2">
              <a:shade val="45000"/>
              <a:satMod val="135000"/>
            </a:schemeClr>
            <a:prstClr val="white"/>
          </a:duotone>
          <a:extLst>
            <a:ext uri="{28A0092B-C50C-407E-A947-70E740481C1C}">
              <a14:useLocalDpi xmlns:a14="http://schemas.microsoft.com/office/drawing/2010/main"/>
            </a:ext>
          </a:extLst>
        </a:blip>
        <a:srcRect/>
        <a:stretch>
          <a:fillRect/>
        </a:stretch>
      </xdr:blipFill>
      <xdr:spPr bwMode="auto">
        <a:xfrm>
          <a:off x="4029075" y="1038225"/>
          <a:ext cx="142875" cy="142875"/>
        </a:xfrm>
        <a:prstGeom prst="rect">
          <a:avLst/>
        </a:prstGeom>
        <a:noFill/>
        <a:ln>
          <a:noFill/>
        </a:ln>
      </xdr:spPr>
    </xdr:pic>
    <xdr:clientData/>
  </xdr:twoCellAnchor>
  <xdr:twoCellAnchor>
    <xdr:from>
      <xdr:col>8</xdr:col>
      <xdr:colOff>133350</xdr:colOff>
      <xdr:row>5</xdr:row>
      <xdr:rowOff>28575</xdr:rowOff>
    </xdr:from>
    <xdr:to>
      <xdr:col>8</xdr:col>
      <xdr:colOff>276225</xdr:colOff>
      <xdr:row>5</xdr:row>
      <xdr:rowOff>171450</xdr:rowOff>
    </xdr:to>
    <xdr:pic>
      <xdr:nvPicPr>
        <xdr:cNvPr id="5" name="Picture 4" descr="Email Icon">
          <a:extLst>
            <a:ext uri="{FF2B5EF4-FFF2-40B4-BE49-F238E27FC236}">
              <a16:creationId xmlns:a16="http://schemas.microsoft.com/office/drawing/2014/main" id="{3E27B646-FD38-F8B1-FA8C-0BAAE43CD1BC}"/>
            </a:ext>
          </a:extLst>
        </xdr:cNvPr>
        <xdr:cNvPicPr>
          <a:picLocks noChangeAspect="1"/>
        </xdr:cNvPicPr>
      </xdr:nvPicPr>
      <xdr:blipFill>
        <a:blip xmlns:r="http://schemas.openxmlformats.org/officeDocument/2006/relationships" r:embed="rId4" cstate="screen">
          <a:duotone>
            <a:schemeClr val="accent2">
              <a:shade val="45000"/>
              <a:satMod val="135000"/>
            </a:schemeClr>
            <a:prstClr val="white"/>
          </a:duotone>
          <a:extLst>
            <a:ext uri="{28A0092B-C50C-407E-A947-70E740481C1C}">
              <a14:useLocalDpi xmlns:a14="http://schemas.microsoft.com/office/drawing/2010/main"/>
            </a:ext>
          </a:extLst>
        </a:blip>
        <a:srcRect/>
        <a:stretch>
          <a:fillRect/>
        </a:stretch>
      </xdr:blipFill>
      <xdr:spPr bwMode="auto">
        <a:xfrm>
          <a:off x="4029075" y="1219200"/>
          <a:ext cx="142875" cy="142875"/>
        </a:xfrm>
        <a:prstGeom prst="rect">
          <a:avLst/>
        </a:prstGeom>
        <a:noFill/>
        <a:ln>
          <a:noFill/>
        </a:ln>
      </xdr:spPr>
    </xdr:pic>
    <xdr:clientData/>
  </xdr:twoCellAnchor>
  <xdr:twoCellAnchor>
    <xdr:from>
      <xdr:col>8</xdr:col>
      <xdr:colOff>133350</xdr:colOff>
      <xdr:row>6</xdr:row>
      <xdr:rowOff>28575</xdr:rowOff>
    </xdr:from>
    <xdr:to>
      <xdr:col>8</xdr:col>
      <xdr:colOff>276225</xdr:colOff>
      <xdr:row>6</xdr:row>
      <xdr:rowOff>171450</xdr:rowOff>
    </xdr:to>
    <xdr:pic>
      <xdr:nvPicPr>
        <xdr:cNvPr id="6" name="Picture 10" descr="Location pin free icon">
          <a:extLst>
            <a:ext uri="{FF2B5EF4-FFF2-40B4-BE49-F238E27FC236}">
              <a16:creationId xmlns:a16="http://schemas.microsoft.com/office/drawing/2014/main" id="{52F12344-235A-5B50-A701-97C14120938C}"/>
            </a:ext>
          </a:extLst>
        </xdr:cNvPr>
        <xdr:cNvPicPr>
          <a:picLocks noChangeAspect="1" noChangeArrowheads="1"/>
        </xdr:cNvPicPr>
      </xdr:nvPicPr>
      <xdr:blipFill>
        <a:blip xmlns:r="http://schemas.openxmlformats.org/officeDocument/2006/relationships" r:embed="rId5" cstate="screen">
          <a:extLst>
            <a:ext uri="{28A0092B-C50C-407E-A947-70E740481C1C}">
              <a14:useLocalDpi xmlns:a14="http://schemas.microsoft.com/office/drawing/2010/main"/>
            </a:ext>
          </a:extLst>
        </a:blip>
        <a:srcRect l="-4974" r="-4974"/>
        <a:stretch>
          <a:fillRect/>
        </a:stretch>
      </xdr:blipFill>
      <xdr:spPr bwMode="auto">
        <a:xfrm>
          <a:off x="4029075" y="1409700"/>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xdr:row>
      <xdr:rowOff>38100</xdr:rowOff>
    </xdr:from>
    <xdr:to>
      <xdr:col>2</xdr:col>
      <xdr:colOff>542925</xdr:colOff>
      <xdr:row>6</xdr:row>
      <xdr:rowOff>171450</xdr:rowOff>
    </xdr:to>
    <xdr:pic>
      <xdr:nvPicPr>
        <xdr:cNvPr id="7" name="Picture 3">
          <a:extLst>
            <a:ext uri="{FF2B5EF4-FFF2-40B4-BE49-F238E27FC236}">
              <a16:creationId xmlns:a16="http://schemas.microsoft.com/office/drawing/2014/main" id="{0C1D5870-CCBD-1AD7-6242-EDAA1B1026D6}"/>
            </a:ext>
          </a:extLst>
        </xdr:cNvPr>
        <xdr:cNvPicPr>
          <a:picLocks noChangeAspect="1" noChangeArrowheads="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219075" y="190500"/>
          <a:ext cx="11144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51</xdr:row>
      <xdr:rowOff>28575</xdr:rowOff>
    </xdr:from>
    <xdr:to>
      <xdr:col>1</xdr:col>
      <xdr:colOff>190500</xdr:colOff>
      <xdr:row>51</xdr:row>
      <xdr:rowOff>171450</xdr:rowOff>
    </xdr:to>
    <xdr:pic>
      <xdr:nvPicPr>
        <xdr:cNvPr id="2" name="Picture 1" descr="Github free icon">
          <a:extLst>
            <a:ext uri="{FF2B5EF4-FFF2-40B4-BE49-F238E27FC236}">
              <a16:creationId xmlns:a16="http://schemas.microsoft.com/office/drawing/2014/main" id="{93EA5186-6335-4D07-B8AA-71EDA82DE65E}"/>
            </a:ext>
          </a:extLst>
        </xdr:cNvPr>
        <xdr:cNvPicPr>
          <a:picLocks noChangeAspect="1"/>
        </xdr:cNvPicPr>
      </xdr:nvPicPr>
      <xdr:blipFill>
        <a:blip xmlns:r="http://schemas.openxmlformats.org/officeDocument/2006/relationships" r:embed="rId1" cstate="screen">
          <a:duotone>
            <a:schemeClr val="accent5">
              <a:shade val="45000"/>
              <a:satMod val="135000"/>
            </a:schemeClr>
            <a:prstClr val="white"/>
          </a:duotone>
          <a:extLst>
            <a:ext uri="{BEBA8EAE-BF5A-486C-A8C5-ECC9F3942E4B}">
              <a14:imgProps xmlns:a14="http://schemas.microsoft.com/office/drawing/2010/main">
                <a14:imgLayer r:embed="rId2">
                  <a14:imgEffect>
                    <a14:colorTemperature colorTemp="1500"/>
                  </a14:imgEffect>
                  <a14:imgEffect>
                    <a14:saturation sat="0"/>
                  </a14:imgEffect>
                </a14:imgLayer>
              </a14:imgProps>
            </a:ext>
            <a:ext uri="{28A0092B-C50C-407E-A947-70E740481C1C}">
              <a14:useLocalDpi xmlns:a14="http://schemas.microsoft.com/office/drawing/2010/main"/>
            </a:ext>
          </a:extLst>
        </a:blip>
        <a:srcRect/>
        <a:stretch>
          <a:fillRect/>
        </a:stretch>
      </xdr:blipFill>
      <xdr:spPr bwMode="auto">
        <a:xfrm>
          <a:off x="123825" y="8820150"/>
          <a:ext cx="142875" cy="142875"/>
        </a:xfrm>
        <a:prstGeom prst="rect">
          <a:avLst/>
        </a:prstGeom>
        <a:noFill/>
        <a:ln>
          <a:noFill/>
        </a:ln>
      </xdr:spPr>
    </xdr:pic>
    <xdr:clientData/>
  </xdr:twoCellAnchor>
  <xdr:twoCellAnchor editAs="oneCell">
    <xdr:from>
      <xdr:col>1</xdr:col>
      <xdr:colOff>47625</xdr:colOff>
      <xdr:row>52</xdr:row>
      <xdr:rowOff>38100</xdr:rowOff>
    </xdr:from>
    <xdr:to>
      <xdr:col>1</xdr:col>
      <xdr:colOff>190500</xdr:colOff>
      <xdr:row>52</xdr:row>
      <xdr:rowOff>180975</xdr:rowOff>
    </xdr:to>
    <xdr:pic>
      <xdr:nvPicPr>
        <xdr:cNvPr id="3" name="Picture 2" descr="Linkedin, social network Icon">
          <a:extLst>
            <a:ext uri="{FF2B5EF4-FFF2-40B4-BE49-F238E27FC236}">
              <a16:creationId xmlns:a16="http://schemas.microsoft.com/office/drawing/2014/main" id="{12C0206E-AACA-466A-A651-425A3C52DD55}"/>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123825" y="9591675"/>
          <a:ext cx="142875" cy="142875"/>
        </a:xfrm>
        <a:prstGeom prst="rect">
          <a:avLst/>
        </a:prstGeom>
        <a:noFill/>
        <a:ln>
          <a:noFill/>
        </a:ln>
      </xdr:spPr>
    </xdr:pic>
    <xdr:clientData/>
  </xdr:twoCellAnchor>
  <xdr:twoCellAnchor editAs="oneCell">
    <xdr:from>
      <xdr:col>1</xdr:col>
      <xdr:colOff>47625</xdr:colOff>
      <xdr:row>50</xdr:row>
      <xdr:rowOff>28575</xdr:rowOff>
    </xdr:from>
    <xdr:to>
      <xdr:col>1</xdr:col>
      <xdr:colOff>190500</xdr:colOff>
      <xdr:row>50</xdr:row>
      <xdr:rowOff>171450</xdr:rowOff>
    </xdr:to>
    <xdr:pic>
      <xdr:nvPicPr>
        <xdr:cNvPr id="4" name="Picture 3" descr="Whatsapp free icon">
          <a:extLst>
            <a:ext uri="{FF2B5EF4-FFF2-40B4-BE49-F238E27FC236}">
              <a16:creationId xmlns:a16="http://schemas.microsoft.com/office/drawing/2014/main" id="{F3E8641D-8BD2-4595-BA84-3255C5DE9519}"/>
            </a:ext>
          </a:extLst>
        </xdr:cNvPr>
        <xdr:cNvPicPr>
          <a:picLocks noChangeAspect="1"/>
        </xdr:cNvPicPr>
      </xdr:nvPicPr>
      <xdr:blipFill>
        <a:blip xmlns:r="http://schemas.openxmlformats.org/officeDocument/2006/relationships" r:embed="rId4" cstate="screen">
          <a:duotone>
            <a:schemeClr val="accent5">
              <a:shade val="45000"/>
              <a:satMod val="135000"/>
            </a:schemeClr>
            <a:prstClr val="white"/>
          </a:duotone>
          <a:extLst>
            <a:ext uri="{BEBA8EAE-BF5A-486C-A8C5-ECC9F3942E4B}">
              <a14:imgProps xmlns:a14="http://schemas.microsoft.com/office/drawing/2010/main">
                <a14:imgLayer r:embed="rId5">
                  <a14:imgEffect>
                    <a14:colorTemperature colorTemp="5300"/>
                  </a14:imgEffect>
                  <a14:imgEffect>
                    <a14:saturation sat="192000"/>
                  </a14:imgEffect>
                </a14:imgLayer>
              </a14:imgProps>
            </a:ext>
            <a:ext uri="{28A0092B-C50C-407E-A947-70E740481C1C}">
              <a14:useLocalDpi xmlns:a14="http://schemas.microsoft.com/office/drawing/2010/main"/>
            </a:ext>
          </a:extLst>
        </a:blip>
        <a:srcRect/>
        <a:stretch>
          <a:fillRect/>
        </a:stretch>
      </xdr:blipFill>
      <xdr:spPr bwMode="auto">
        <a:xfrm>
          <a:off x="123825" y="9201150"/>
          <a:ext cx="142875" cy="142875"/>
        </a:xfrm>
        <a:prstGeom prst="rect">
          <a:avLst/>
        </a:prstGeom>
        <a:noFill/>
        <a:ln>
          <a:noFill/>
        </a:ln>
      </xdr:spPr>
    </xdr:pic>
    <xdr:clientData/>
  </xdr:twoCellAnchor>
  <xdr:twoCellAnchor editAs="oneCell">
    <xdr:from>
      <xdr:col>1</xdr:col>
      <xdr:colOff>47625</xdr:colOff>
      <xdr:row>53</xdr:row>
      <xdr:rowOff>28575</xdr:rowOff>
    </xdr:from>
    <xdr:to>
      <xdr:col>1</xdr:col>
      <xdr:colOff>190500</xdr:colOff>
      <xdr:row>53</xdr:row>
      <xdr:rowOff>171450</xdr:rowOff>
    </xdr:to>
    <xdr:pic>
      <xdr:nvPicPr>
        <xdr:cNvPr id="5" name="Picture 4" descr="Email Icon">
          <a:extLst>
            <a:ext uri="{FF2B5EF4-FFF2-40B4-BE49-F238E27FC236}">
              <a16:creationId xmlns:a16="http://schemas.microsoft.com/office/drawing/2014/main" id="{BBAB3037-7C7C-4AD0-BDC0-504B61EBB3A6}"/>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123825" y="9391650"/>
          <a:ext cx="142875" cy="142875"/>
        </a:xfrm>
        <a:prstGeom prst="rect">
          <a:avLst/>
        </a:prstGeom>
        <a:noFill/>
        <a:ln>
          <a:noFill/>
        </a:ln>
      </xdr:spPr>
    </xdr:pic>
    <xdr:clientData/>
  </xdr:twoCellAnchor>
  <xdr:twoCellAnchor editAs="oneCell">
    <xdr:from>
      <xdr:col>1</xdr:col>
      <xdr:colOff>47625</xdr:colOff>
      <xdr:row>55</xdr:row>
      <xdr:rowOff>28575</xdr:rowOff>
    </xdr:from>
    <xdr:to>
      <xdr:col>1</xdr:col>
      <xdr:colOff>190500</xdr:colOff>
      <xdr:row>55</xdr:row>
      <xdr:rowOff>171450</xdr:rowOff>
    </xdr:to>
    <xdr:pic>
      <xdr:nvPicPr>
        <xdr:cNvPr id="6" name="Picture 10" descr="Location pin free icon">
          <a:extLst>
            <a:ext uri="{FF2B5EF4-FFF2-40B4-BE49-F238E27FC236}">
              <a16:creationId xmlns:a16="http://schemas.microsoft.com/office/drawing/2014/main" id="{23338D39-BC9F-4806-87B9-B4565CA686E6}"/>
            </a:ext>
          </a:extLst>
        </xdr:cNvPr>
        <xdr:cNvPicPr>
          <a:picLocks noChangeAspect="1" noChangeArrowheads="1"/>
        </xdr:cNvPicPr>
      </xdr:nvPicPr>
      <xdr:blipFill>
        <a:blip xmlns:r="http://schemas.openxmlformats.org/officeDocument/2006/relationships" r:embed="rId7" cstate="screen">
          <a:duotone>
            <a:schemeClr val="accent5">
              <a:shade val="45000"/>
              <a:satMod val="135000"/>
            </a:schemeClr>
            <a:prstClr val="white"/>
          </a:duotone>
          <a:extLst>
            <a:ext uri="{BEBA8EAE-BF5A-486C-A8C5-ECC9F3942E4B}">
              <a14:imgProps xmlns:a14="http://schemas.microsoft.com/office/drawing/2010/main">
                <a14:imgLayer r:embed="rId8">
                  <a14:imgEffect>
                    <a14:colorTemperature colorTemp="4700"/>
                  </a14:imgEffect>
                  <a14:imgEffect>
                    <a14:saturation sat="400000"/>
                  </a14:imgEffect>
                </a14:imgLayer>
              </a14:imgProps>
            </a:ext>
            <a:ext uri="{28A0092B-C50C-407E-A947-70E740481C1C}">
              <a14:useLocalDpi xmlns:a14="http://schemas.microsoft.com/office/drawing/2010/main"/>
            </a:ext>
          </a:extLst>
        </a:blip>
        <a:srcRect l="-4974" r="-4974"/>
        <a:stretch>
          <a:fillRect/>
        </a:stretch>
      </xdr:blipFill>
      <xdr:spPr bwMode="auto">
        <a:xfrm>
          <a:off x="123825" y="10163175"/>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504825</xdr:colOff>
      <xdr:row>6</xdr:row>
      <xdr:rowOff>66674</xdr:rowOff>
    </xdr:from>
    <xdr:to>
      <xdr:col>4</xdr:col>
      <xdr:colOff>247650</xdr:colOff>
      <xdr:row>14</xdr:row>
      <xdr:rowOff>171449</xdr:rowOff>
    </xdr:to>
    <xdr:pic>
      <xdr:nvPicPr>
        <xdr:cNvPr id="7" name="Picture 3">
          <a:extLst>
            <a:ext uri="{FF2B5EF4-FFF2-40B4-BE49-F238E27FC236}">
              <a16:creationId xmlns:a16="http://schemas.microsoft.com/office/drawing/2014/main" id="{678CBA47-DDDC-45DB-8AC3-C803EAFF7526}"/>
            </a:ext>
          </a:extLst>
        </xdr:cNvPr>
        <xdr:cNvPicPr>
          <a:picLocks noChangeAspect="1" noChangeArrowheads="1"/>
        </xdr:cNvPicPr>
      </xdr:nvPicPr>
      <xdr:blipFill>
        <a:blip xmlns:r="http://schemas.openxmlformats.org/officeDocument/2006/relationships" r:embed="rId9" cstate="screen">
          <a:extLst>
            <a:ext uri="{28A0092B-C50C-407E-A947-70E740481C1C}">
              <a14:useLocalDpi xmlns:a14="http://schemas.microsoft.com/office/drawing/2010/main"/>
            </a:ext>
          </a:extLst>
        </a:blip>
        <a:srcRect/>
        <a:stretch>
          <a:fillRect/>
        </a:stretch>
      </xdr:blipFill>
      <xdr:spPr bwMode="auto">
        <a:xfrm>
          <a:off x="657225" y="1095374"/>
          <a:ext cx="1314450"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52</xdr:row>
      <xdr:rowOff>28575</xdr:rowOff>
    </xdr:from>
    <xdr:to>
      <xdr:col>1</xdr:col>
      <xdr:colOff>190500</xdr:colOff>
      <xdr:row>52</xdr:row>
      <xdr:rowOff>171450</xdr:rowOff>
    </xdr:to>
    <xdr:pic>
      <xdr:nvPicPr>
        <xdr:cNvPr id="2" name="Picture 1" descr="Github free icon">
          <a:extLst>
            <a:ext uri="{FF2B5EF4-FFF2-40B4-BE49-F238E27FC236}">
              <a16:creationId xmlns:a16="http://schemas.microsoft.com/office/drawing/2014/main" id="{CCBBE488-482F-4E7A-B643-E9912531FBB2}"/>
            </a:ext>
          </a:extLst>
        </xdr:cNvPr>
        <xdr:cNvPicPr>
          <a:picLocks noChangeAspect="1"/>
        </xdr:cNvPicPr>
      </xdr:nvPicPr>
      <xdr:blipFill>
        <a:blip xmlns:r="http://schemas.openxmlformats.org/officeDocument/2006/relationships" r:embed="rId1" cstate="screen">
          <a:duotone>
            <a:schemeClr val="accent5">
              <a:shade val="45000"/>
              <a:satMod val="135000"/>
            </a:schemeClr>
            <a:prstClr val="white"/>
          </a:duotone>
          <a:extLst>
            <a:ext uri="{BEBA8EAE-BF5A-486C-A8C5-ECC9F3942E4B}">
              <a14:imgProps xmlns:a14="http://schemas.microsoft.com/office/drawing/2010/main">
                <a14:imgLayer r:embed="rId2">
                  <a14:imgEffect>
                    <a14:colorTemperature colorTemp="1500"/>
                  </a14:imgEffect>
                  <a14:imgEffect>
                    <a14:saturation sat="0"/>
                  </a14:imgEffect>
                </a14:imgLayer>
              </a14:imgProps>
            </a:ext>
            <a:ext uri="{28A0092B-C50C-407E-A947-70E740481C1C}">
              <a14:useLocalDpi xmlns:a14="http://schemas.microsoft.com/office/drawing/2010/main"/>
            </a:ext>
          </a:extLst>
        </a:blip>
        <a:srcRect/>
        <a:stretch>
          <a:fillRect/>
        </a:stretch>
      </xdr:blipFill>
      <xdr:spPr bwMode="auto">
        <a:xfrm>
          <a:off x="200025" y="9782175"/>
          <a:ext cx="142875" cy="142875"/>
        </a:xfrm>
        <a:prstGeom prst="rect">
          <a:avLst/>
        </a:prstGeom>
        <a:noFill/>
        <a:ln>
          <a:noFill/>
        </a:ln>
      </xdr:spPr>
    </xdr:pic>
    <xdr:clientData/>
  </xdr:twoCellAnchor>
  <xdr:twoCellAnchor editAs="oneCell">
    <xdr:from>
      <xdr:col>1</xdr:col>
      <xdr:colOff>47625</xdr:colOff>
      <xdr:row>53</xdr:row>
      <xdr:rowOff>38100</xdr:rowOff>
    </xdr:from>
    <xdr:to>
      <xdr:col>1</xdr:col>
      <xdr:colOff>190500</xdr:colOff>
      <xdr:row>53</xdr:row>
      <xdr:rowOff>180975</xdr:rowOff>
    </xdr:to>
    <xdr:pic>
      <xdr:nvPicPr>
        <xdr:cNvPr id="3" name="Picture 2" descr="Linkedin, social network Icon">
          <a:extLst>
            <a:ext uri="{FF2B5EF4-FFF2-40B4-BE49-F238E27FC236}">
              <a16:creationId xmlns:a16="http://schemas.microsoft.com/office/drawing/2014/main" id="{24296344-D8FC-48FC-BEBF-398D6680AA98}"/>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00025" y="9982200"/>
          <a:ext cx="142875" cy="142875"/>
        </a:xfrm>
        <a:prstGeom prst="rect">
          <a:avLst/>
        </a:prstGeom>
        <a:noFill/>
        <a:ln>
          <a:noFill/>
        </a:ln>
      </xdr:spPr>
    </xdr:pic>
    <xdr:clientData/>
  </xdr:twoCellAnchor>
  <xdr:twoCellAnchor editAs="oneCell">
    <xdr:from>
      <xdr:col>1</xdr:col>
      <xdr:colOff>47625</xdr:colOff>
      <xdr:row>51</xdr:row>
      <xdr:rowOff>28575</xdr:rowOff>
    </xdr:from>
    <xdr:to>
      <xdr:col>1</xdr:col>
      <xdr:colOff>190500</xdr:colOff>
      <xdr:row>51</xdr:row>
      <xdr:rowOff>171450</xdr:rowOff>
    </xdr:to>
    <xdr:pic>
      <xdr:nvPicPr>
        <xdr:cNvPr id="4" name="Picture 3" descr="Whatsapp free icon">
          <a:extLst>
            <a:ext uri="{FF2B5EF4-FFF2-40B4-BE49-F238E27FC236}">
              <a16:creationId xmlns:a16="http://schemas.microsoft.com/office/drawing/2014/main" id="{59D80273-A80A-4E20-B7A1-DB46B5F52531}"/>
            </a:ext>
          </a:extLst>
        </xdr:cNvPr>
        <xdr:cNvPicPr>
          <a:picLocks noChangeAspect="1"/>
        </xdr:cNvPicPr>
      </xdr:nvPicPr>
      <xdr:blipFill>
        <a:blip xmlns:r="http://schemas.openxmlformats.org/officeDocument/2006/relationships" r:embed="rId4" cstate="screen">
          <a:duotone>
            <a:schemeClr val="accent5">
              <a:shade val="45000"/>
              <a:satMod val="135000"/>
            </a:schemeClr>
            <a:prstClr val="white"/>
          </a:duotone>
          <a:extLst>
            <a:ext uri="{BEBA8EAE-BF5A-486C-A8C5-ECC9F3942E4B}">
              <a14:imgProps xmlns:a14="http://schemas.microsoft.com/office/drawing/2010/main">
                <a14:imgLayer r:embed="rId5">
                  <a14:imgEffect>
                    <a14:colorTemperature colorTemp="5300"/>
                  </a14:imgEffect>
                  <a14:imgEffect>
                    <a14:saturation sat="192000"/>
                  </a14:imgEffect>
                </a14:imgLayer>
              </a14:imgProps>
            </a:ext>
            <a:ext uri="{28A0092B-C50C-407E-A947-70E740481C1C}">
              <a14:useLocalDpi xmlns:a14="http://schemas.microsoft.com/office/drawing/2010/main"/>
            </a:ext>
          </a:extLst>
        </a:blip>
        <a:srcRect/>
        <a:stretch>
          <a:fillRect/>
        </a:stretch>
      </xdr:blipFill>
      <xdr:spPr bwMode="auto">
        <a:xfrm>
          <a:off x="200025" y="9591675"/>
          <a:ext cx="142875" cy="142875"/>
        </a:xfrm>
        <a:prstGeom prst="rect">
          <a:avLst/>
        </a:prstGeom>
        <a:noFill/>
        <a:ln>
          <a:noFill/>
        </a:ln>
      </xdr:spPr>
    </xdr:pic>
    <xdr:clientData/>
  </xdr:twoCellAnchor>
  <xdr:twoCellAnchor editAs="oneCell">
    <xdr:from>
      <xdr:col>1</xdr:col>
      <xdr:colOff>47625</xdr:colOff>
      <xdr:row>54</xdr:row>
      <xdr:rowOff>28575</xdr:rowOff>
    </xdr:from>
    <xdr:to>
      <xdr:col>1</xdr:col>
      <xdr:colOff>190500</xdr:colOff>
      <xdr:row>54</xdr:row>
      <xdr:rowOff>171450</xdr:rowOff>
    </xdr:to>
    <xdr:pic>
      <xdr:nvPicPr>
        <xdr:cNvPr id="5" name="Picture 4" descr="Email Icon">
          <a:extLst>
            <a:ext uri="{FF2B5EF4-FFF2-40B4-BE49-F238E27FC236}">
              <a16:creationId xmlns:a16="http://schemas.microsoft.com/office/drawing/2014/main" id="{11B28C1D-879E-4C63-B213-9CE9E0C0299A}"/>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200025" y="10163175"/>
          <a:ext cx="142875" cy="142875"/>
        </a:xfrm>
        <a:prstGeom prst="rect">
          <a:avLst/>
        </a:prstGeom>
        <a:noFill/>
        <a:ln>
          <a:noFill/>
        </a:ln>
      </xdr:spPr>
    </xdr:pic>
    <xdr:clientData/>
  </xdr:twoCellAnchor>
  <xdr:twoCellAnchor editAs="oneCell">
    <xdr:from>
      <xdr:col>1</xdr:col>
      <xdr:colOff>47625</xdr:colOff>
      <xdr:row>55</xdr:row>
      <xdr:rowOff>28575</xdr:rowOff>
    </xdr:from>
    <xdr:to>
      <xdr:col>1</xdr:col>
      <xdr:colOff>190500</xdr:colOff>
      <xdr:row>55</xdr:row>
      <xdr:rowOff>171450</xdr:rowOff>
    </xdr:to>
    <xdr:pic>
      <xdr:nvPicPr>
        <xdr:cNvPr id="6" name="Picture 10" descr="Location pin free icon">
          <a:extLst>
            <a:ext uri="{FF2B5EF4-FFF2-40B4-BE49-F238E27FC236}">
              <a16:creationId xmlns:a16="http://schemas.microsoft.com/office/drawing/2014/main" id="{F46B1CA3-9C92-4707-BA21-EC536C3B7A8D}"/>
            </a:ext>
          </a:extLst>
        </xdr:cNvPr>
        <xdr:cNvPicPr>
          <a:picLocks noChangeAspect="1" noChangeArrowheads="1"/>
        </xdr:cNvPicPr>
      </xdr:nvPicPr>
      <xdr:blipFill>
        <a:blip xmlns:r="http://schemas.openxmlformats.org/officeDocument/2006/relationships" r:embed="rId7" cstate="screen">
          <a:duotone>
            <a:schemeClr val="accent5">
              <a:shade val="45000"/>
              <a:satMod val="135000"/>
            </a:schemeClr>
            <a:prstClr val="white"/>
          </a:duotone>
          <a:extLst>
            <a:ext uri="{BEBA8EAE-BF5A-486C-A8C5-ECC9F3942E4B}">
              <a14:imgProps xmlns:a14="http://schemas.microsoft.com/office/drawing/2010/main">
                <a14:imgLayer r:embed="rId8">
                  <a14:imgEffect>
                    <a14:colorTemperature colorTemp="4700"/>
                  </a14:imgEffect>
                  <a14:imgEffect>
                    <a14:saturation sat="400000"/>
                  </a14:imgEffect>
                </a14:imgLayer>
              </a14:imgProps>
            </a:ext>
            <a:ext uri="{28A0092B-C50C-407E-A947-70E740481C1C}">
              <a14:useLocalDpi xmlns:a14="http://schemas.microsoft.com/office/drawing/2010/main"/>
            </a:ext>
          </a:extLst>
        </a:blip>
        <a:srcRect l="-4974" r="-4974"/>
        <a:stretch>
          <a:fillRect/>
        </a:stretch>
      </xdr:blipFill>
      <xdr:spPr bwMode="auto">
        <a:xfrm>
          <a:off x="200025" y="10353675"/>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57483</xdr:colOff>
      <xdr:row>4</xdr:row>
      <xdr:rowOff>88690</xdr:rowOff>
    </xdr:from>
    <xdr:to>
      <xdr:col>3</xdr:col>
      <xdr:colOff>57150</xdr:colOff>
      <xdr:row>12</xdr:row>
      <xdr:rowOff>171450</xdr:rowOff>
    </xdr:to>
    <xdr:pic>
      <xdr:nvPicPr>
        <xdr:cNvPr id="7" name="Picture 3">
          <a:extLst>
            <a:ext uri="{FF2B5EF4-FFF2-40B4-BE49-F238E27FC236}">
              <a16:creationId xmlns:a16="http://schemas.microsoft.com/office/drawing/2014/main" id="{00A008FD-486F-445D-A02B-E6EA37DAA4B0}"/>
            </a:ext>
          </a:extLst>
        </xdr:cNvPr>
        <xdr:cNvPicPr>
          <a:picLocks noChangeAspect="1" noChangeArrowheads="1"/>
        </xdr:cNvPicPr>
      </xdr:nvPicPr>
      <xdr:blipFill>
        <a:blip xmlns:r="http://schemas.openxmlformats.org/officeDocument/2006/relationships" r:embed="rId9" cstate="screen">
          <a:extLst>
            <a:ext uri="{BEBA8EAE-BF5A-486C-A8C5-ECC9F3942E4B}">
              <a14:imgProps xmlns:a14="http://schemas.microsoft.com/office/drawing/2010/main">
                <a14:imgLayer r:embed="rId10">
                  <a14:imgEffect>
                    <a14:backgroundRemoval t="4886" b="98046" l="3358" r="96642">
                      <a14:foregroundMark x1="35448" y1="8795" x2="64179" y2="9446"/>
                      <a14:foregroundMark x1="48881" y1="4886" x2="48881" y2="4886"/>
                      <a14:foregroundMark x1="64179" y1="80782" x2="64179" y2="80782"/>
                      <a14:foregroundMark x1="70522" y1="79479" x2="66418" y2="93160"/>
                      <a14:foregroundMark x1="31716" y1="72964" x2="75373" y2="96091"/>
                      <a14:foregroundMark x1="75373" y1="96091" x2="75000" y2="74919"/>
                      <a14:foregroundMark x1="73507" y1="72638" x2="95149" y2="95114"/>
                      <a14:foregroundMark x1="89925" y1="80130" x2="92164" y2="81107"/>
                      <a14:foregroundMark x1="94403" y1="77524" x2="92910" y2="97394"/>
                      <a14:foregroundMark x1="27239" y1="75570" x2="46642" y2="98697"/>
                      <a14:foregroundMark x1="23134" y1="74267" x2="3731" y2="81107"/>
                      <a14:foregroundMark x1="96642" y1="81107" x2="96642" y2="92508"/>
                    </a14:backgroundRemoval>
                  </a14:imgEffect>
                </a14:imgLayer>
              </a14:imgProps>
            </a:ext>
            <a:ext uri="{28A0092B-C50C-407E-A947-70E740481C1C}">
              <a14:useLocalDpi xmlns:a14="http://schemas.microsoft.com/office/drawing/2010/main"/>
            </a:ext>
          </a:extLst>
        </a:blip>
        <a:srcRect/>
        <a:stretch>
          <a:fillRect/>
        </a:stretch>
      </xdr:blipFill>
      <xdr:spPr bwMode="auto">
        <a:xfrm>
          <a:off x="209883" y="698290"/>
          <a:ext cx="1218867" cy="1511510"/>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47625</xdr:colOff>
      <xdr:row>52</xdr:row>
      <xdr:rowOff>28575</xdr:rowOff>
    </xdr:from>
    <xdr:ext cx="142875" cy="142875"/>
    <xdr:pic>
      <xdr:nvPicPr>
        <xdr:cNvPr id="2" name="Picture 1" descr="Github free icon">
          <a:extLst>
            <a:ext uri="{FF2B5EF4-FFF2-40B4-BE49-F238E27FC236}">
              <a16:creationId xmlns:a16="http://schemas.microsoft.com/office/drawing/2014/main" id="{8AD6DA65-66D7-4629-AAAA-69BF0F4EB809}"/>
            </a:ext>
          </a:extLst>
        </xdr:cNvPr>
        <xdr:cNvPicPr>
          <a:picLocks noChangeAspect="1"/>
        </xdr:cNvPicPr>
      </xdr:nvPicPr>
      <xdr:blipFill>
        <a:blip xmlns:r="http://schemas.openxmlformats.org/officeDocument/2006/relationships" r:embed="rId1" cstate="screen">
          <a:duotone>
            <a:schemeClr val="accent5">
              <a:shade val="45000"/>
              <a:satMod val="135000"/>
            </a:schemeClr>
            <a:prstClr val="white"/>
          </a:duotone>
          <a:extLst>
            <a:ext uri="{BEBA8EAE-BF5A-486C-A8C5-ECC9F3942E4B}">
              <a14:imgProps xmlns:a14="http://schemas.microsoft.com/office/drawing/2010/main">
                <a14:imgLayer r:embed="rId2">
                  <a14:imgEffect>
                    <a14:colorTemperature colorTemp="1500"/>
                  </a14:imgEffect>
                  <a14:imgEffect>
                    <a14:saturation sat="0"/>
                  </a14:imgEffect>
                </a14:imgLayer>
              </a14:imgProps>
            </a:ext>
            <a:ext uri="{28A0092B-C50C-407E-A947-70E740481C1C}">
              <a14:useLocalDpi xmlns:a14="http://schemas.microsoft.com/office/drawing/2010/main"/>
            </a:ext>
          </a:extLst>
        </a:blip>
        <a:srcRect/>
        <a:stretch>
          <a:fillRect/>
        </a:stretch>
      </xdr:blipFill>
      <xdr:spPr bwMode="auto">
        <a:xfrm>
          <a:off x="657225" y="9934575"/>
          <a:ext cx="142875" cy="142875"/>
        </a:xfrm>
        <a:prstGeom prst="rect">
          <a:avLst/>
        </a:prstGeom>
        <a:noFill/>
        <a:ln>
          <a:noFill/>
        </a:ln>
      </xdr:spPr>
    </xdr:pic>
    <xdr:clientData/>
  </xdr:oneCellAnchor>
  <xdr:oneCellAnchor>
    <xdr:from>
      <xdr:col>1</xdr:col>
      <xdr:colOff>47625</xdr:colOff>
      <xdr:row>53</xdr:row>
      <xdr:rowOff>38100</xdr:rowOff>
    </xdr:from>
    <xdr:ext cx="142875" cy="142875"/>
    <xdr:pic>
      <xdr:nvPicPr>
        <xdr:cNvPr id="3" name="Picture 2" descr="Linkedin, social network Icon">
          <a:extLst>
            <a:ext uri="{FF2B5EF4-FFF2-40B4-BE49-F238E27FC236}">
              <a16:creationId xmlns:a16="http://schemas.microsoft.com/office/drawing/2014/main" id="{9325A089-74EE-4DCE-BFA9-CFD9D95B3FFD}"/>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657225" y="10134600"/>
          <a:ext cx="142875" cy="142875"/>
        </a:xfrm>
        <a:prstGeom prst="rect">
          <a:avLst/>
        </a:prstGeom>
        <a:noFill/>
        <a:ln>
          <a:noFill/>
        </a:ln>
      </xdr:spPr>
    </xdr:pic>
    <xdr:clientData/>
  </xdr:oneCellAnchor>
  <xdr:oneCellAnchor>
    <xdr:from>
      <xdr:col>1</xdr:col>
      <xdr:colOff>47625</xdr:colOff>
      <xdr:row>51</xdr:row>
      <xdr:rowOff>28575</xdr:rowOff>
    </xdr:from>
    <xdr:ext cx="142875" cy="142875"/>
    <xdr:pic>
      <xdr:nvPicPr>
        <xdr:cNvPr id="4" name="Picture 3" descr="Whatsapp free icon">
          <a:extLst>
            <a:ext uri="{FF2B5EF4-FFF2-40B4-BE49-F238E27FC236}">
              <a16:creationId xmlns:a16="http://schemas.microsoft.com/office/drawing/2014/main" id="{517DEAA1-CC43-4E89-934A-E026E7818757}"/>
            </a:ext>
          </a:extLst>
        </xdr:cNvPr>
        <xdr:cNvPicPr>
          <a:picLocks noChangeAspect="1"/>
        </xdr:cNvPicPr>
      </xdr:nvPicPr>
      <xdr:blipFill>
        <a:blip xmlns:r="http://schemas.openxmlformats.org/officeDocument/2006/relationships" r:embed="rId4" cstate="screen">
          <a:duotone>
            <a:schemeClr val="accent5">
              <a:shade val="45000"/>
              <a:satMod val="135000"/>
            </a:schemeClr>
            <a:prstClr val="white"/>
          </a:duotone>
          <a:extLst>
            <a:ext uri="{BEBA8EAE-BF5A-486C-A8C5-ECC9F3942E4B}">
              <a14:imgProps xmlns:a14="http://schemas.microsoft.com/office/drawing/2010/main">
                <a14:imgLayer r:embed="rId5">
                  <a14:imgEffect>
                    <a14:colorTemperature colorTemp="5300"/>
                  </a14:imgEffect>
                  <a14:imgEffect>
                    <a14:saturation sat="192000"/>
                  </a14:imgEffect>
                </a14:imgLayer>
              </a14:imgProps>
            </a:ext>
            <a:ext uri="{28A0092B-C50C-407E-A947-70E740481C1C}">
              <a14:useLocalDpi xmlns:a14="http://schemas.microsoft.com/office/drawing/2010/main"/>
            </a:ext>
          </a:extLst>
        </a:blip>
        <a:srcRect/>
        <a:stretch>
          <a:fillRect/>
        </a:stretch>
      </xdr:blipFill>
      <xdr:spPr bwMode="auto">
        <a:xfrm>
          <a:off x="657225" y="9744075"/>
          <a:ext cx="142875" cy="142875"/>
        </a:xfrm>
        <a:prstGeom prst="rect">
          <a:avLst/>
        </a:prstGeom>
        <a:noFill/>
        <a:ln>
          <a:noFill/>
        </a:ln>
      </xdr:spPr>
    </xdr:pic>
    <xdr:clientData/>
  </xdr:oneCellAnchor>
  <xdr:oneCellAnchor>
    <xdr:from>
      <xdr:col>1</xdr:col>
      <xdr:colOff>47625</xdr:colOff>
      <xdr:row>54</xdr:row>
      <xdr:rowOff>28575</xdr:rowOff>
    </xdr:from>
    <xdr:ext cx="142875" cy="142875"/>
    <xdr:pic>
      <xdr:nvPicPr>
        <xdr:cNvPr id="5" name="Picture 4" descr="Email Icon">
          <a:extLst>
            <a:ext uri="{FF2B5EF4-FFF2-40B4-BE49-F238E27FC236}">
              <a16:creationId xmlns:a16="http://schemas.microsoft.com/office/drawing/2014/main" id="{FE2B04D0-1B8F-4AF3-9071-FBEA31F00D38}"/>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657225" y="10315575"/>
          <a:ext cx="142875" cy="142875"/>
        </a:xfrm>
        <a:prstGeom prst="rect">
          <a:avLst/>
        </a:prstGeom>
        <a:noFill/>
        <a:ln>
          <a:noFill/>
        </a:ln>
      </xdr:spPr>
    </xdr:pic>
    <xdr:clientData/>
  </xdr:oneCellAnchor>
  <xdr:oneCellAnchor>
    <xdr:from>
      <xdr:col>1</xdr:col>
      <xdr:colOff>47625</xdr:colOff>
      <xdr:row>55</xdr:row>
      <xdr:rowOff>28575</xdr:rowOff>
    </xdr:from>
    <xdr:ext cx="142875" cy="142875"/>
    <xdr:pic>
      <xdr:nvPicPr>
        <xdr:cNvPr id="6" name="Picture 10" descr="Location pin free icon">
          <a:extLst>
            <a:ext uri="{FF2B5EF4-FFF2-40B4-BE49-F238E27FC236}">
              <a16:creationId xmlns:a16="http://schemas.microsoft.com/office/drawing/2014/main" id="{90821937-FD9E-4055-A0DD-4C21A2C73E63}"/>
            </a:ext>
          </a:extLst>
        </xdr:cNvPr>
        <xdr:cNvPicPr>
          <a:picLocks noChangeAspect="1" noChangeArrowheads="1"/>
        </xdr:cNvPicPr>
      </xdr:nvPicPr>
      <xdr:blipFill>
        <a:blip xmlns:r="http://schemas.openxmlformats.org/officeDocument/2006/relationships" r:embed="rId7" cstate="screen">
          <a:duotone>
            <a:schemeClr val="accent5">
              <a:shade val="45000"/>
              <a:satMod val="135000"/>
            </a:schemeClr>
            <a:prstClr val="white"/>
          </a:duotone>
          <a:extLst>
            <a:ext uri="{BEBA8EAE-BF5A-486C-A8C5-ECC9F3942E4B}">
              <a14:imgProps xmlns:a14="http://schemas.microsoft.com/office/drawing/2010/main">
                <a14:imgLayer r:embed="rId8">
                  <a14:imgEffect>
                    <a14:colorTemperature colorTemp="4700"/>
                  </a14:imgEffect>
                  <a14:imgEffect>
                    <a14:saturation sat="400000"/>
                  </a14:imgEffect>
                </a14:imgLayer>
              </a14:imgProps>
            </a:ext>
            <a:ext uri="{28A0092B-C50C-407E-A947-70E740481C1C}">
              <a14:useLocalDpi xmlns:a14="http://schemas.microsoft.com/office/drawing/2010/main"/>
            </a:ext>
          </a:extLst>
        </a:blip>
        <a:srcRect l="-4974" r="-4974"/>
        <a:stretch>
          <a:fillRect/>
        </a:stretch>
      </xdr:blipFill>
      <xdr:spPr bwMode="auto">
        <a:xfrm>
          <a:off x="657225" y="10506075"/>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57483</xdr:colOff>
      <xdr:row>4</xdr:row>
      <xdr:rowOff>88690</xdr:rowOff>
    </xdr:from>
    <xdr:ext cx="1218867" cy="1511510"/>
    <xdr:pic>
      <xdr:nvPicPr>
        <xdr:cNvPr id="7" name="Picture 3">
          <a:extLst>
            <a:ext uri="{FF2B5EF4-FFF2-40B4-BE49-F238E27FC236}">
              <a16:creationId xmlns:a16="http://schemas.microsoft.com/office/drawing/2014/main" id="{9B0263BF-831F-45F0-A183-2E6619C5ABDA}"/>
            </a:ext>
          </a:extLst>
        </xdr:cNvPr>
        <xdr:cNvPicPr>
          <a:picLocks noChangeAspect="1" noChangeArrowheads="1"/>
        </xdr:cNvPicPr>
      </xdr:nvPicPr>
      <xdr:blipFill>
        <a:blip xmlns:r="http://schemas.openxmlformats.org/officeDocument/2006/relationships" r:embed="rId9" cstate="screen">
          <a:extLst>
            <a:ext uri="{BEBA8EAE-BF5A-486C-A8C5-ECC9F3942E4B}">
              <a14:imgProps xmlns:a14="http://schemas.microsoft.com/office/drawing/2010/main">
                <a14:imgLayer r:embed="rId10">
                  <a14:imgEffect>
                    <a14:backgroundRemoval t="4886" b="98046" l="3358" r="96642">
                      <a14:foregroundMark x1="35448" y1="8795" x2="64179" y2="9446"/>
                      <a14:foregroundMark x1="48881" y1="4886" x2="48881" y2="4886"/>
                      <a14:foregroundMark x1="64179" y1="80782" x2="64179" y2="80782"/>
                      <a14:foregroundMark x1="70522" y1="79479" x2="66418" y2="93160"/>
                      <a14:foregroundMark x1="31716" y1="72964" x2="75373" y2="96091"/>
                      <a14:foregroundMark x1="75373" y1="96091" x2="75000" y2="74919"/>
                      <a14:foregroundMark x1="73507" y1="72638" x2="95149" y2="95114"/>
                      <a14:foregroundMark x1="89925" y1="80130" x2="92164" y2="81107"/>
                      <a14:foregroundMark x1="94403" y1="77524" x2="92910" y2="97394"/>
                      <a14:foregroundMark x1="27239" y1="75570" x2="46642" y2="98697"/>
                      <a14:foregroundMark x1="23134" y1="74267" x2="3731" y2="81107"/>
                      <a14:foregroundMark x1="96642" y1="81107" x2="96642" y2="92508"/>
                    </a14:backgroundRemoval>
                  </a14:imgEffect>
                </a14:imgLayer>
              </a14:imgProps>
            </a:ext>
            <a:ext uri="{28A0092B-C50C-407E-A947-70E740481C1C}">
              <a14:useLocalDpi xmlns:a14="http://schemas.microsoft.com/office/drawing/2010/main"/>
            </a:ext>
          </a:extLst>
        </a:blip>
        <a:srcRect/>
        <a:stretch>
          <a:fillRect/>
        </a:stretch>
      </xdr:blipFill>
      <xdr:spPr bwMode="auto">
        <a:xfrm>
          <a:off x="667083" y="850690"/>
          <a:ext cx="1218867" cy="1511510"/>
        </a:xfrm>
        <a:prstGeom prst="rect">
          <a:avLst/>
        </a:prstGeom>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47625</xdr:colOff>
      <xdr:row>52</xdr:row>
      <xdr:rowOff>28575</xdr:rowOff>
    </xdr:from>
    <xdr:ext cx="142875" cy="142875"/>
    <xdr:pic>
      <xdr:nvPicPr>
        <xdr:cNvPr id="2" name="Picture 1" descr="Github free icon">
          <a:extLst>
            <a:ext uri="{FF2B5EF4-FFF2-40B4-BE49-F238E27FC236}">
              <a16:creationId xmlns:a16="http://schemas.microsoft.com/office/drawing/2014/main" id="{1F3075DD-15ED-4457-99ED-6310EB3EFF8C}"/>
            </a:ext>
          </a:extLst>
        </xdr:cNvPr>
        <xdr:cNvPicPr>
          <a:picLocks noChangeAspect="1"/>
        </xdr:cNvPicPr>
      </xdr:nvPicPr>
      <xdr:blipFill>
        <a:blip xmlns:r="http://schemas.openxmlformats.org/officeDocument/2006/relationships" r:embed="rId1" cstate="screen">
          <a:duotone>
            <a:schemeClr val="accent5">
              <a:shade val="45000"/>
              <a:satMod val="135000"/>
            </a:schemeClr>
            <a:prstClr val="white"/>
          </a:duotone>
          <a:extLst>
            <a:ext uri="{BEBA8EAE-BF5A-486C-A8C5-ECC9F3942E4B}">
              <a14:imgProps xmlns:a14="http://schemas.microsoft.com/office/drawing/2010/main">
                <a14:imgLayer r:embed="rId2">
                  <a14:imgEffect>
                    <a14:colorTemperature colorTemp="1500"/>
                  </a14:imgEffect>
                  <a14:imgEffect>
                    <a14:saturation sat="0"/>
                  </a14:imgEffect>
                </a14:imgLayer>
              </a14:imgProps>
            </a:ext>
            <a:ext uri="{28A0092B-C50C-407E-A947-70E740481C1C}">
              <a14:useLocalDpi xmlns:a14="http://schemas.microsoft.com/office/drawing/2010/main"/>
            </a:ext>
          </a:extLst>
        </a:blip>
        <a:srcRect/>
        <a:stretch>
          <a:fillRect/>
        </a:stretch>
      </xdr:blipFill>
      <xdr:spPr bwMode="auto">
        <a:xfrm>
          <a:off x="200025" y="9686925"/>
          <a:ext cx="142875" cy="142875"/>
        </a:xfrm>
        <a:prstGeom prst="rect">
          <a:avLst/>
        </a:prstGeom>
        <a:noFill/>
        <a:ln>
          <a:noFill/>
        </a:ln>
      </xdr:spPr>
    </xdr:pic>
    <xdr:clientData/>
  </xdr:oneCellAnchor>
  <xdr:oneCellAnchor>
    <xdr:from>
      <xdr:col>1</xdr:col>
      <xdr:colOff>47625</xdr:colOff>
      <xdr:row>53</xdr:row>
      <xdr:rowOff>38100</xdr:rowOff>
    </xdr:from>
    <xdr:ext cx="142875" cy="142875"/>
    <xdr:pic>
      <xdr:nvPicPr>
        <xdr:cNvPr id="3" name="Picture 2" descr="Linkedin, social network Icon">
          <a:extLst>
            <a:ext uri="{FF2B5EF4-FFF2-40B4-BE49-F238E27FC236}">
              <a16:creationId xmlns:a16="http://schemas.microsoft.com/office/drawing/2014/main" id="{491FAA3C-AD2D-489E-AF4B-0F64B2809704}"/>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00025" y="9886950"/>
          <a:ext cx="142875" cy="142875"/>
        </a:xfrm>
        <a:prstGeom prst="rect">
          <a:avLst/>
        </a:prstGeom>
        <a:noFill/>
        <a:ln>
          <a:noFill/>
        </a:ln>
      </xdr:spPr>
    </xdr:pic>
    <xdr:clientData/>
  </xdr:oneCellAnchor>
  <xdr:oneCellAnchor>
    <xdr:from>
      <xdr:col>1</xdr:col>
      <xdr:colOff>47625</xdr:colOff>
      <xdr:row>51</xdr:row>
      <xdr:rowOff>28575</xdr:rowOff>
    </xdr:from>
    <xdr:ext cx="142875" cy="142875"/>
    <xdr:pic>
      <xdr:nvPicPr>
        <xdr:cNvPr id="4" name="Picture 3" descr="Whatsapp free icon">
          <a:extLst>
            <a:ext uri="{FF2B5EF4-FFF2-40B4-BE49-F238E27FC236}">
              <a16:creationId xmlns:a16="http://schemas.microsoft.com/office/drawing/2014/main" id="{B31689D5-9567-4C59-95CA-E9FA1ABB07BC}"/>
            </a:ext>
          </a:extLst>
        </xdr:cNvPr>
        <xdr:cNvPicPr>
          <a:picLocks noChangeAspect="1"/>
        </xdr:cNvPicPr>
      </xdr:nvPicPr>
      <xdr:blipFill>
        <a:blip xmlns:r="http://schemas.openxmlformats.org/officeDocument/2006/relationships" r:embed="rId4" cstate="screen">
          <a:duotone>
            <a:schemeClr val="accent5">
              <a:shade val="45000"/>
              <a:satMod val="135000"/>
            </a:schemeClr>
            <a:prstClr val="white"/>
          </a:duotone>
          <a:extLst>
            <a:ext uri="{BEBA8EAE-BF5A-486C-A8C5-ECC9F3942E4B}">
              <a14:imgProps xmlns:a14="http://schemas.microsoft.com/office/drawing/2010/main">
                <a14:imgLayer r:embed="rId5">
                  <a14:imgEffect>
                    <a14:colorTemperature colorTemp="5300"/>
                  </a14:imgEffect>
                  <a14:imgEffect>
                    <a14:saturation sat="192000"/>
                  </a14:imgEffect>
                </a14:imgLayer>
              </a14:imgProps>
            </a:ext>
            <a:ext uri="{28A0092B-C50C-407E-A947-70E740481C1C}">
              <a14:useLocalDpi xmlns:a14="http://schemas.microsoft.com/office/drawing/2010/main"/>
            </a:ext>
          </a:extLst>
        </a:blip>
        <a:srcRect/>
        <a:stretch>
          <a:fillRect/>
        </a:stretch>
      </xdr:blipFill>
      <xdr:spPr bwMode="auto">
        <a:xfrm>
          <a:off x="200025" y="9496425"/>
          <a:ext cx="142875" cy="142875"/>
        </a:xfrm>
        <a:prstGeom prst="rect">
          <a:avLst/>
        </a:prstGeom>
        <a:noFill/>
        <a:ln>
          <a:noFill/>
        </a:ln>
      </xdr:spPr>
    </xdr:pic>
    <xdr:clientData/>
  </xdr:oneCellAnchor>
  <xdr:oneCellAnchor>
    <xdr:from>
      <xdr:col>1</xdr:col>
      <xdr:colOff>47625</xdr:colOff>
      <xdr:row>54</xdr:row>
      <xdr:rowOff>28575</xdr:rowOff>
    </xdr:from>
    <xdr:ext cx="142875" cy="142875"/>
    <xdr:pic>
      <xdr:nvPicPr>
        <xdr:cNvPr id="5" name="Picture 4" descr="Email Icon">
          <a:extLst>
            <a:ext uri="{FF2B5EF4-FFF2-40B4-BE49-F238E27FC236}">
              <a16:creationId xmlns:a16="http://schemas.microsoft.com/office/drawing/2014/main" id="{CF2554ED-C335-47C4-8F45-6BE744C1518B}"/>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200025" y="10067925"/>
          <a:ext cx="142875" cy="142875"/>
        </a:xfrm>
        <a:prstGeom prst="rect">
          <a:avLst/>
        </a:prstGeom>
        <a:noFill/>
        <a:ln>
          <a:noFill/>
        </a:ln>
      </xdr:spPr>
    </xdr:pic>
    <xdr:clientData/>
  </xdr:oneCellAnchor>
  <xdr:oneCellAnchor>
    <xdr:from>
      <xdr:col>1</xdr:col>
      <xdr:colOff>47625</xdr:colOff>
      <xdr:row>55</xdr:row>
      <xdr:rowOff>28575</xdr:rowOff>
    </xdr:from>
    <xdr:ext cx="142875" cy="142875"/>
    <xdr:pic>
      <xdr:nvPicPr>
        <xdr:cNvPr id="6" name="Picture 10" descr="Location pin free icon">
          <a:extLst>
            <a:ext uri="{FF2B5EF4-FFF2-40B4-BE49-F238E27FC236}">
              <a16:creationId xmlns:a16="http://schemas.microsoft.com/office/drawing/2014/main" id="{8A55B3AB-D454-4D67-9B08-F312493998E1}"/>
            </a:ext>
          </a:extLst>
        </xdr:cNvPr>
        <xdr:cNvPicPr>
          <a:picLocks noChangeAspect="1" noChangeArrowheads="1"/>
        </xdr:cNvPicPr>
      </xdr:nvPicPr>
      <xdr:blipFill>
        <a:blip xmlns:r="http://schemas.openxmlformats.org/officeDocument/2006/relationships" r:embed="rId7" cstate="screen">
          <a:duotone>
            <a:schemeClr val="accent5">
              <a:shade val="45000"/>
              <a:satMod val="135000"/>
            </a:schemeClr>
            <a:prstClr val="white"/>
          </a:duotone>
          <a:extLst>
            <a:ext uri="{BEBA8EAE-BF5A-486C-A8C5-ECC9F3942E4B}">
              <a14:imgProps xmlns:a14="http://schemas.microsoft.com/office/drawing/2010/main">
                <a14:imgLayer r:embed="rId8">
                  <a14:imgEffect>
                    <a14:colorTemperature colorTemp="4700"/>
                  </a14:imgEffect>
                  <a14:imgEffect>
                    <a14:saturation sat="400000"/>
                  </a14:imgEffect>
                </a14:imgLayer>
              </a14:imgProps>
            </a:ext>
            <a:ext uri="{28A0092B-C50C-407E-A947-70E740481C1C}">
              <a14:useLocalDpi xmlns:a14="http://schemas.microsoft.com/office/drawing/2010/main"/>
            </a:ext>
          </a:extLst>
        </a:blip>
        <a:srcRect l="-4974" r="-4974"/>
        <a:stretch>
          <a:fillRect/>
        </a:stretch>
      </xdr:blipFill>
      <xdr:spPr bwMode="auto">
        <a:xfrm>
          <a:off x="200025" y="10258425"/>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57483</xdr:colOff>
      <xdr:row>4</xdr:row>
      <xdr:rowOff>142874</xdr:rowOff>
    </xdr:from>
    <xdr:ext cx="1218867" cy="1457325"/>
    <xdr:pic>
      <xdr:nvPicPr>
        <xdr:cNvPr id="7" name="Picture 3">
          <a:extLst>
            <a:ext uri="{FF2B5EF4-FFF2-40B4-BE49-F238E27FC236}">
              <a16:creationId xmlns:a16="http://schemas.microsoft.com/office/drawing/2014/main" id="{B1D24E5D-8DEC-4781-8B28-BB16585FA86E}"/>
            </a:ext>
          </a:extLst>
        </xdr:cNvPr>
        <xdr:cNvPicPr>
          <a:picLocks noChangeAspect="1" noChangeArrowheads="1"/>
        </xdr:cNvPicPr>
      </xdr:nvPicPr>
      <xdr:blipFill>
        <a:blip xmlns:r="http://schemas.openxmlformats.org/officeDocument/2006/relationships" r:embed="rId9" cstate="screen">
          <a:extLst>
            <a:ext uri="{BEBA8EAE-BF5A-486C-A8C5-ECC9F3942E4B}">
              <a14:imgProps xmlns:a14="http://schemas.microsoft.com/office/drawing/2010/main">
                <a14:imgLayer r:embed="rId10">
                  <a14:imgEffect>
                    <a14:backgroundRemoval t="4886" b="98046" l="3358" r="96642">
                      <a14:foregroundMark x1="35448" y1="8795" x2="64179" y2="9446"/>
                      <a14:foregroundMark x1="48881" y1="4886" x2="48881" y2="4886"/>
                      <a14:foregroundMark x1="64179" y1="80782" x2="64179" y2="80782"/>
                      <a14:foregroundMark x1="70522" y1="79479" x2="66418" y2="93160"/>
                      <a14:foregroundMark x1="31716" y1="72964" x2="75373" y2="96091"/>
                      <a14:foregroundMark x1="75373" y1="96091" x2="75000" y2="74919"/>
                      <a14:foregroundMark x1="73507" y1="72638" x2="95149" y2="95114"/>
                      <a14:foregroundMark x1="89925" y1="80130" x2="92164" y2="81107"/>
                      <a14:foregroundMark x1="94403" y1="77524" x2="92910" y2="97394"/>
                      <a14:foregroundMark x1="27239" y1="75570" x2="46642" y2="98697"/>
                      <a14:foregroundMark x1="23134" y1="74267" x2="3731" y2="81107"/>
                      <a14:foregroundMark x1="96642" y1="81107" x2="96642" y2="92508"/>
                    </a14:backgroundRemoval>
                  </a14:imgEffect>
                  <a14:imgEffect>
                    <a14:colorTemperature colorTemp="8800"/>
                  </a14:imgEffect>
                </a14:imgLayer>
              </a14:imgProps>
            </a:ext>
            <a:ext uri="{28A0092B-C50C-407E-A947-70E740481C1C}">
              <a14:useLocalDpi xmlns:a14="http://schemas.microsoft.com/office/drawing/2010/main"/>
            </a:ext>
          </a:extLst>
        </a:blip>
        <a:srcRect/>
        <a:stretch>
          <a:fillRect/>
        </a:stretch>
      </xdr:blipFill>
      <xdr:spPr bwMode="auto">
        <a:xfrm>
          <a:off x="209883" y="752474"/>
          <a:ext cx="1218867" cy="1457325"/>
        </a:xfrm>
        <a:prstGeom prst="rect">
          <a:avLst/>
        </a:prstGeom>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47625</xdr:colOff>
      <xdr:row>52</xdr:row>
      <xdr:rowOff>28575</xdr:rowOff>
    </xdr:from>
    <xdr:ext cx="142875" cy="142875"/>
    <xdr:pic>
      <xdr:nvPicPr>
        <xdr:cNvPr id="2" name="Picture 1" descr="Github free icon">
          <a:extLst>
            <a:ext uri="{FF2B5EF4-FFF2-40B4-BE49-F238E27FC236}">
              <a16:creationId xmlns:a16="http://schemas.microsoft.com/office/drawing/2014/main" id="{12BC1E40-1693-49D0-B69B-BAAB59DB9C65}"/>
            </a:ext>
          </a:extLst>
        </xdr:cNvPr>
        <xdr:cNvPicPr>
          <a:picLocks noChangeAspect="1"/>
        </xdr:cNvPicPr>
      </xdr:nvPicPr>
      <xdr:blipFill>
        <a:blip xmlns:r="http://schemas.openxmlformats.org/officeDocument/2006/relationships" r:embed="rId1" cstate="screen">
          <a:duotone>
            <a:schemeClr val="accent5">
              <a:shade val="45000"/>
              <a:satMod val="135000"/>
            </a:schemeClr>
            <a:prstClr val="white"/>
          </a:duotone>
          <a:extLst>
            <a:ext uri="{BEBA8EAE-BF5A-486C-A8C5-ECC9F3942E4B}">
              <a14:imgProps xmlns:a14="http://schemas.microsoft.com/office/drawing/2010/main">
                <a14:imgLayer r:embed="rId2">
                  <a14:imgEffect>
                    <a14:colorTemperature colorTemp="1500"/>
                  </a14:imgEffect>
                  <a14:imgEffect>
                    <a14:saturation sat="0"/>
                  </a14:imgEffect>
                </a14:imgLayer>
              </a14:imgProps>
            </a:ext>
            <a:ext uri="{28A0092B-C50C-407E-A947-70E740481C1C}">
              <a14:useLocalDpi xmlns:a14="http://schemas.microsoft.com/office/drawing/2010/main"/>
            </a:ext>
          </a:extLst>
        </a:blip>
        <a:srcRect/>
        <a:stretch>
          <a:fillRect/>
        </a:stretch>
      </xdr:blipFill>
      <xdr:spPr bwMode="auto">
        <a:xfrm>
          <a:off x="200025" y="9782175"/>
          <a:ext cx="142875" cy="142875"/>
        </a:xfrm>
        <a:prstGeom prst="rect">
          <a:avLst/>
        </a:prstGeom>
        <a:noFill/>
        <a:ln>
          <a:noFill/>
        </a:ln>
      </xdr:spPr>
    </xdr:pic>
    <xdr:clientData/>
  </xdr:oneCellAnchor>
  <xdr:oneCellAnchor>
    <xdr:from>
      <xdr:col>1</xdr:col>
      <xdr:colOff>47625</xdr:colOff>
      <xdr:row>53</xdr:row>
      <xdr:rowOff>38100</xdr:rowOff>
    </xdr:from>
    <xdr:ext cx="142875" cy="142875"/>
    <xdr:pic>
      <xdr:nvPicPr>
        <xdr:cNvPr id="3" name="Picture 2" descr="Linkedin, social network Icon">
          <a:extLst>
            <a:ext uri="{FF2B5EF4-FFF2-40B4-BE49-F238E27FC236}">
              <a16:creationId xmlns:a16="http://schemas.microsoft.com/office/drawing/2014/main" id="{B9133394-0425-4091-B173-D6BCA15ED347}"/>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00025" y="9982200"/>
          <a:ext cx="142875" cy="142875"/>
        </a:xfrm>
        <a:prstGeom prst="rect">
          <a:avLst/>
        </a:prstGeom>
        <a:noFill/>
        <a:ln>
          <a:noFill/>
        </a:ln>
      </xdr:spPr>
    </xdr:pic>
    <xdr:clientData/>
  </xdr:oneCellAnchor>
  <xdr:oneCellAnchor>
    <xdr:from>
      <xdr:col>1</xdr:col>
      <xdr:colOff>47625</xdr:colOff>
      <xdr:row>51</xdr:row>
      <xdr:rowOff>28575</xdr:rowOff>
    </xdr:from>
    <xdr:ext cx="142875" cy="142875"/>
    <xdr:pic>
      <xdr:nvPicPr>
        <xdr:cNvPr id="4" name="Picture 3" descr="Whatsapp free icon">
          <a:extLst>
            <a:ext uri="{FF2B5EF4-FFF2-40B4-BE49-F238E27FC236}">
              <a16:creationId xmlns:a16="http://schemas.microsoft.com/office/drawing/2014/main" id="{7AEEF829-35B1-4D96-8B03-42044A163564}"/>
            </a:ext>
          </a:extLst>
        </xdr:cNvPr>
        <xdr:cNvPicPr>
          <a:picLocks noChangeAspect="1"/>
        </xdr:cNvPicPr>
      </xdr:nvPicPr>
      <xdr:blipFill>
        <a:blip xmlns:r="http://schemas.openxmlformats.org/officeDocument/2006/relationships" r:embed="rId4" cstate="screen">
          <a:duotone>
            <a:schemeClr val="accent5">
              <a:shade val="45000"/>
              <a:satMod val="135000"/>
            </a:schemeClr>
            <a:prstClr val="white"/>
          </a:duotone>
          <a:extLst>
            <a:ext uri="{BEBA8EAE-BF5A-486C-A8C5-ECC9F3942E4B}">
              <a14:imgProps xmlns:a14="http://schemas.microsoft.com/office/drawing/2010/main">
                <a14:imgLayer r:embed="rId5">
                  <a14:imgEffect>
                    <a14:colorTemperature colorTemp="5300"/>
                  </a14:imgEffect>
                  <a14:imgEffect>
                    <a14:saturation sat="192000"/>
                  </a14:imgEffect>
                </a14:imgLayer>
              </a14:imgProps>
            </a:ext>
            <a:ext uri="{28A0092B-C50C-407E-A947-70E740481C1C}">
              <a14:useLocalDpi xmlns:a14="http://schemas.microsoft.com/office/drawing/2010/main"/>
            </a:ext>
          </a:extLst>
        </a:blip>
        <a:srcRect/>
        <a:stretch>
          <a:fillRect/>
        </a:stretch>
      </xdr:blipFill>
      <xdr:spPr bwMode="auto">
        <a:xfrm>
          <a:off x="200025" y="9591675"/>
          <a:ext cx="142875" cy="142875"/>
        </a:xfrm>
        <a:prstGeom prst="rect">
          <a:avLst/>
        </a:prstGeom>
        <a:noFill/>
        <a:ln>
          <a:noFill/>
        </a:ln>
      </xdr:spPr>
    </xdr:pic>
    <xdr:clientData/>
  </xdr:oneCellAnchor>
  <xdr:oneCellAnchor>
    <xdr:from>
      <xdr:col>1</xdr:col>
      <xdr:colOff>47625</xdr:colOff>
      <xdr:row>54</xdr:row>
      <xdr:rowOff>28575</xdr:rowOff>
    </xdr:from>
    <xdr:ext cx="142875" cy="142875"/>
    <xdr:pic>
      <xdr:nvPicPr>
        <xdr:cNvPr id="5" name="Picture 4" descr="Email Icon">
          <a:extLst>
            <a:ext uri="{FF2B5EF4-FFF2-40B4-BE49-F238E27FC236}">
              <a16:creationId xmlns:a16="http://schemas.microsoft.com/office/drawing/2014/main" id="{920646EB-6A9E-47BA-AC05-86B675F4EF5C}"/>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bwMode="auto">
        <a:xfrm>
          <a:off x="200025" y="10163175"/>
          <a:ext cx="142875" cy="142875"/>
        </a:xfrm>
        <a:prstGeom prst="rect">
          <a:avLst/>
        </a:prstGeom>
        <a:noFill/>
        <a:ln>
          <a:noFill/>
        </a:ln>
      </xdr:spPr>
    </xdr:pic>
    <xdr:clientData/>
  </xdr:oneCellAnchor>
  <xdr:oneCellAnchor>
    <xdr:from>
      <xdr:col>1</xdr:col>
      <xdr:colOff>47625</xdr:colOff>
      <xdr:row>55</xdr:row>
      <xdr:rowOff>28575</xdr:rowOff>
    </xdr:from>
    <xdr:ext cx="142875" cy="142875"/>
    <xdr:pic>
      <xdr:nvPicPr>
        <xdr:cNvPr id="6" name="Picture 10" descr="Location pin free icon">
          <a:extLst>
            <a:ext uri="{FF2B5EF4-FFF2-40B4-BE49-F238E27FC236}">
              <a16:creationId xmlns:a16="http://schemas.microsoft.com/office/drawing/2014/main" id="{A0CBD199-621C-40C8-85B9-C3062731768B}"/>
            </a:ext>
          </a:extLst>
        </xdr:cNvPr>
        <xdr:cNvPicPr>
          <a:picLocks noChangeAspect="1" noChangeArrowheads="1"/>
        </xdr:cNvPicPr>
      </xdr:nvPicPr>
      <xdr:blipFill>
        <a:blip xmlns:r="http://schemas.openxmlformats.org/officeDocument/2006/relationships" r:embed="rId7" cstate="screen">
          <a:duotone>
            <a:schemeClr val="accent5">
              <a:shade val="45000"/>
              <a:satMod val="135000"/>
            </a:schemeClr>
            <a:prstClr val="white"/>
          </a:duotone>
          <a:extLst>
            <a:ext uri="{BEBA8EAE-BF5A-486C-A8C5-ECC9F3942E4B}">
              <a14:imgProps xmlns:a14="http://schemas.microsoft.com/office/drawing/2010/main">
                <a14:imgLayer r:embed="rId8">
                  <a14:imgEffect>
                    <a14:colorTemperature colorTemp="4700"/>
                  </a14:imgEffect>
                  <a14:imgEffect>
                    <a14:saturation sat="400000"/>
                  </a14:imgEffect>
                </a14:imgLayer>
              </a14:imgProps>
            </a:ext>
            <a:ext uri="{28A0092B-C50C-407E-A947-70E740481C1C}">
              <a14:useLocalDpi xmlns:a14="http://schemas.microsoft.com/office/drawing/2010/main"/>
            </a:ext>
          </a:extLst>
        </a:blip>
        <a:srcRect l="-4974" r="-4974"/>
        <a:stretch>
          <a:fillRect/>
        </a:stretch>
      </xdr:blipFill>
      <xdr:spPr bwMode="auto">
        <a:xfrm>
          <a:off x="200025" y="10353675"/>
          <a:ext cx="142875" cy="142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57483</xdr:colOff>
      <xdr:row>4</xdr:row>
      <xdr:rowOff>142874</xdr:rowOff>
    </xdr:from>
    <xdr:ext cx="1218867" cy="1457325"/>
    <xdr:pic>
      <xdr:nvPicPr>
        <xdr:cNvPr id="7" name="Picture 3">
          <a:extLst>
            <a:ext uri="{FF2B5EF4-FFF2-40B4-BE49-F238E27FC236}">
              <a16:creationId xmlns:a16="http://schemas.microsoft.com/office/drawing/2014/main" id="{2B072FA5-E559-4187-BA02-F512CAD565A6}"/>
            </a:ext>
          </a:extLst>
        </xdr:cNvPr>
        <xdr:cNvPicPr>
          <a:picLocks noChangeAspect="1" noChangeArrowheads="1"/>
        </xdr:cNvPicPr>
      </xdr:nvPicPr>
      <xdr:blipFill>
        <a:blip xmlns:r="http://schemas.openxmlformats.org/officeDocument/2006/relationships" r:embed="rId9" cstate="screen">
          <a:extLst>
            <a:ext uri="{BEBA8EAE-BF5A-486C-A8C5-ECC9F3942E4B}">
              <a14:imgProps xmlns:a14="http://schemas.microsoft.com/office/drawing/2010/main">
                <a14:imgLayer r:embed="rId10">
                  <a14:imgEffect>
                    <a14:backgroundRemoval t="4886" b="98046" l="3358" r="96642">
                      <a14:foregroundMark x1="35448" y1="8795" x2="64179" y2="9446"/>
                      <a14:foregroundMark x1="48881" y1="4886" x2="48881" y2="4886"/>
                      <a14:foregroundMark x1="64179" y1="80782" x2="64179" y2="80782"/>
                      <a14:foregroundMark x1="70522" y1="79479" x2="66418" y2="93160"/>
                      <a14:foregroundMark x1="31716" y1="72964" x2="75373" y2="96091"/>
                      <a14:foregroundMark x1="75373" y1="96091" x2="75000" y2="74919"/>
                      <a14:foregroundMark x1="73507" y1="72638" x2="95149" y2="95114"/>
                      <a14:foregroundMark x1="89925" y1="80130" x2="92164" y2="81107"/>
                      <a14:foregroundMark x1="94403" y1="77524" x2="92910" y2="97394"/>
                      <a14:foregroundMark x1="27239" y1="75570" x2="46642" y2="98697"/>
                      <a14:foregroundMark x1="23134" y1="74267" x2="3731" y2="81107"/>
                      <a14:foregroundMark x1="96642" y1="81107" x2="96642" y2="92508"/>
                    </a14:backgroundRemoval>
                  </a14:imgEffect>
                  <a14:imgEffect>
                    <a14:colorTemperature colorTemp="8800"/>
                  </a14:imgEffect>
                </a14:imgLayer>
              </a14:imgProps>
            </a:ext>
            <a:ext uri="{28A0092B-C50C-407E-A947-70E740481C1C}">
              <a14:useLocalDpi xmlns:a14="http://schemas.microsoft.com/office/drawing/2010/main"/>
            </a:ext>
          </a:extLst>
        </a:blip>
        <a:srcRect/>
        <a:stretch>
          <a:fillRect/>
        </a:stretch>
      </xdr:blipFill>
      <xdr:spPr bwMode="auto">
        <a:xfrm>
          <a:off x="209883" y="752474"/>
          <a:ext cx="1218867" cy="1457325"/>
        </a:xfrm>
        <a:prstGeom prst="rect">
          <a:avLst/>
        </a:prstGeom>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5</xdr:col>
      <xdr:colOff>333</xdr:colOff>
      <xdr:row>2</xdr:row>
      <xdr:rowOff>28576</xdr:rowOff>
    </xdr:from>
    <xdr:ext cx="1218867" cy="1219200"/>
    <xdr:pic>
      <xdr:nvPicPr>
        <xdr:cNvPr id="8" name="Picture 3">
          <a:extLst>
            <a:ext uri="{FF2B5EF4-FFF2-40B4-BE49-F238E27FC236}">
              <a16:creationId xmlns:a16="http://schemas.microsoft.com/office/drawing/2014/main" id="{148D21C1-E51F-49B8-94E5-797CD47822E8}"/>
            </a:ext>
          </a:extLst>
        </xdr:cNvPr>
        <xdr:cNvPicPr>
          <a:picLocks noChangeAspect="1" noChangeArrowheads="1"/>
        </xdr:cNvPicPr>
      </xdr:nvPicPr>
      <xdr:blipFill rotWithShape="1">
        <a:blip xmlns:r="http://schemas.openxmlformats.org/officeDocument/2006/relationships" r:embed="rId1" cstate="screen">
          <a:extLst>
            <a:ext uri="{BEBA8EAE-BF5A-486C-A8C5-ECC9F3942E4B}">
              <a14:imgProps xmlns:a14="http://schemas.microsoft.com/office/drawing/2010/main">
                <a14:imgLayer r:embed="rId2">
                  <a14:imgEffect>
                    <a14:backgroundRemoval t="1176" b="100000" l="2985" r="96642">
                      <a14:foregroundMark x1="35448" y1="5882" x2="64179" y2="6667"/>
                      <a14:foregroundMark x1="48881" y1="1176" x2="48881" y2="1176"/>
                      <a14:foregroundMark x1="64179" y1="92549" x2="64179" y2="92549"/>
                      <a14:foregroundMark x1="70149" y1="90980" x2="68284" y2="99608"/>
                      <a14:foregroundMark x1="31716" y1="83137" x2="57463" y2="99608"/>
                      <a14:foregroundMark x1="75000" y1="85490" x2="75000" y2="99608"/>
                      <a14:foregroundMark x1="73507" y1="82745" x2="86940" y2="99608"/>
                      <a14:foregroundMark x1="89925" y1="91765" x2="92164" y2="92941"/>
                      <a14:foregroundMark x1="94030" y1="88627" x2="93657" y2="99608"/>
                      <a14:foregroundMark x1="27239" y1="86275" x2="36567" y2="99608"/>
                      <a14:foregroundMark x1="23134" y1="84706" x2="3731" y2="92941"/>
                      <a14:foregroundMark x1="96642" y1="92941" x2="96642" y2="99608"/>
                    </a14:backgroundRemoval>
                  </a14:imgEffect>
                  <a14:imgEffect>
                    <a14:colorTemperature colorTemp="8800"/>
                  </a14:imgEffect>
                </a14:imgLayer>
              </a14:imgProps>
            </a:ext>
            <a:ext uri="{28A0092B-C50C-407E-A947-70E740481C1C}">
              <a14:useLocalDpi xmlns:a14="http://schemas.microsoft.com/office/drawing/2010/main"/>
            </a:ext>
          </a:extLst>
        </a:blip>
        <a:srcRect/>
        <a:stretch/>
      </xdr:blipFill>
      <xdr:spPr bwMode="auto">
        <a:xfrm>
          <a:off x="10573083" y="238126"/>
          <a:ext cx="1218867" cy="1219200"/>
        </a:xfrm>
        <a:prstGeom prst="rect">
          <a:avLst/>
        </a:prstGeom>
        <a:ln>
          <a:noFill/>
        </a:ln>
        <a:effectLst>
          <a:outerShdw blurRad="101600" dir="1560000" sx="99000" sy="99000" algn="tl" rotWithShape="0">
            <a:schemeClr val="accent1">
              <a:lumMod val="75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401025</xdr:colOff>
      <xdr:row>10</xdr:row>
      <xdr:rowOff>10500</xdr:rowOff>
    </xdr:from>
    <xdr:to>
      <xdr:col>4</xdr:col>
      <xdr:colOff>581025</xdr:colOff>
      <xdr:row>11</xdr:row>
      <xdr:rowOff>0</xdr:rowOff>
    </xdr:to>
    <xdr:pic>
      <xdr:nvPicPr>
        <xdr:cNvPr id="26" name="Graphic 25" descr="Receiver with solid fill">
          <a:extLst>
            <a:ext uri="{FF2B5EF4-FFF2-40B4-BE49-F238E27FC236}">
              <a16:creationId xmlns:a16="http://schemas.microsoft.com/office/drawing/2014/main" id="{DABD5E34-09A9-5F33-5D31-25A7D404FA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210900" y="1848825"/>
          <a:ext cx="180000" cy="180000"/>
        </a:xfrm>
        <a:prstGeom prst="rect">
          <a:avLst/>
        </a:prstGeom>
      </xdr:spPr>
    </xdr:pic>
    <xdr:clientData/>
  </xdr:twoCellAnchor>
  <xdr:twoCellAnchor editAs="oneCell">
    <xdr:from>
      <xdr:col>7</xdr:col>
      <xdr:colOff>401025</xdr:colOff>
      <xdr:row>10</xdr:row>
      <xdr:rowOff>96225</xdr:rowOff>
    </xdr:from>
    <xdr:to>
      <xdr:col>7</xdr:col>
      <xdr:colOff>581025</xdr:colOff>
      <xdr:row>12</xdr:row>
      <xdr:rowOff>38100</xdr:rowOff>
    </xdr:to>
    <xdr:pic>
      <xdr:nvPicPr>
        <xdr:cNvPr id="32" name="Graphic 31" descr="Employee badge with solid fill">
          <a:extLst>
            <a:ext uri="{FF2B5EF4-FFF2-40B4-BE49-F238E27FC236}">
              <a16:creationId xmlns:a16="http://schemas.microsoft.com/office/drawing/2014/main" id="{4D9469D7-7E6F-788C-08D6-DBD783FE3A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39625" y="1934550"/>
          <a:ext cx="180000" cy="180000"/>
        </a:xfrm>
        <a:prstGeom prst="rect">
          <a:avLst/>
        </a:prstGeom>
      </xdr:spPr>
    </xdr:pic>
    <xdr:clientData/>
  </xdr:twoCellAnchor>
  <xdr:twoCellAnchor editAs="oneCell">
    <xdr:from>
      <xdr:col>0</xdr:col>
      <xdr:colOff>162900</xdr:colOff>
      <xdr:row>10</xdr:row>
      <xdr:rowOff>20025</xdr:rowOff>
    </xdr:from>
    <xdr:to>
      <xdr:col>0</xdr:col>
      <xdr:colOff>342900</xdr:colOff>
      <xdr:row>11</xdr:row>
      <xdr:rowOff>9525</xdr:rowOff>
    </xdr:to>
    <xdr:pic>
      <xdr:nvPicPr>
        <xdr:cNvPr id="34" name="Graphic 33" descr="Email with solid fill">
          <a:extLst>
            <a:ext uri="{FF2B5EF4-FFF2-40B4-BE49-F238E27FC236}">
              <a16:creationId xmlns:a16="http://schemas.microsoft.com/office/drawing/2014/main" id="{8DAA198E-559D-4EEF-CBB0-993F7CB6253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2900" y="1858350"/>
          <a:ext cx="180000" cy="180000"/>
        </a:xfrm>
        <a:prstGeom prst="rect">
          <a:avLst/>
        </a:prstGeom>
      </xdr:spPr>
    </xdr:pic>
    <xdr:clientData/>
  </xdr:twoCellAnchor>
  <xdr:twoCellAnchor editAs="oneCell">
    <xdr:from>
      <xdr:col>0</xdr:col>
      <xdr:colOff>162900</xdr:colOff>
      <xdr:row>12</xdr:row>
      <xdr:rowOff>96225</xdr:rowOff>
    </xdr:from>
    <xdr:to>
      <xdr:col>0</xdr:col>
      <xdr:colOff>342900</xdr:colOff>
      <xdr:row>13</xdr:row>
      <xdr:rowOff>85725</xdr:rowOff>
    </xdr:to>
    <xdr:pic>
      <xdr:nvPicPr>
        <xdr:cNvPr id="36" name="Graphic 35" descr="Home with solid fill">
          <a:extLst>
            <a:ext uri="{FF2B5EF4-FFF2-40B4-BE49-F238E27FC236}">
              <a16:creationId xmlns:a16="http://schemas.microsoft.com/office/drawing/2014/main" id="{A437D80C-5A71-A285-6645-1BC97228737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2900" y="2172675"/>
          <a:ext cx="180000" cy="180000"/>
        </a:xfrm>
        <a:prstGeom prst="rect">
          <a:avLst/>
        </a:prstGeom>
      </xdr:spPr>
    </xdr:pic>
    <xdr:clientData/>
  </xdr:twoCellAnchor>
  <xdr:twoCellAnchor editAs="oneCell">
    <xdr:from>
      <xdr:col>4</xdr:col>
      <xdr:colOff>401025</xdr:colOff>
      <xdr:row>12</xdr:row>
      <xdr:rowOff>115275</xdr:rowOff>
    </xdr:from>
    <xdr:to>
      <xdr:col>4</xdr:col>
      <xdr:colOff>581025</xdr:colOff>
      <xdr:row>13</xdr:row>
      <xdr:rowOff>104775</xdr:rowOff>
    </xdr:to>
    <xdr:pic>
      <xdr:nvPicPr>
        <xdr:cNvPr id="39" name="Graphic 38" descr="Speech with solid fill">
          <a:extLst>
            <a:ext uri="{FF2B5EF4-FFF2-40B4-BE49-F238E27FC236}">
              <a16:creationId xmlns:a16="http://schemas.microsoft.com/office/drawing/2014/main" id="{028B0676-FE37-80BC-6613-468DAA08ED9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610825" y="2191725"/>
          <a:ext cx="180000" cy="180000"/>
        </a:xfrm>
        <a:prstGeom prst="rect">
          <a:avLst/>
        </a:prstGeom>
      </xdr:spPr>
    </xdr:pic>
    <xdr:clientData/>
  </xdr:twoCellAnchor>
  <xdr:twoCellAnchor editAs="oneCell">
    <xdr:from>
      <xdr:col>5</xdr:col>
      <xdr:colOff>429600</xdr:colOff>
      <xdr:row>25</xdr:row>
      <xdr:rowOff>10500</xdr:rowOff>
    </xdr:from>
    <xdr:to>
      <xdr:col>6</xdr:col>
      <xdr:colOff>0</xdr:colOff>
      <xdr:row>26</xdr:row>
      <xdr:rowOff>0</xdr:rowOff>
    </xdr:to>
    <xdr:pic>
      <xdr:nvPicPr>
        <xdr:cNvPr id="41" name="Graphic 40" descr="Graduation cap with solid fill">
          <a:extLst>
            <a:ext uri="{FF2B5EF4-FFF2-40B4-BE49-F238E27FC236}">
              <a16:creationId xmlns:a16="http://schemas.microsoft.com/office/drawing/2014/main" id="{0A985F99-5156-82A4-19C0-931A6EB43B0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611950" y="4525350"/>
          <a:ext cx="180000" cy="180000"/>
        </a:xfrm>
        <a:prstGeom prst="rect">
          <a:avLst/>
        </a:prstGeom>
      </xdr:spPr>
    </xdr:pic>
    <xdr:clientData/>
  </xdr:twoCellAnchor>
  <xdr:twoCellAnchor editAs="oneCell">
    <xdr:from>
      <xdr:col>5</xdr:col>
      <xdr:colOff>429600</xdr:colOff>
      <xdr:row>29</xdr:row>
      <xdr:rowOff>10500</xdr:rowOff>
    </xdr:from>
    <xdr:to>
      <xdr:col>6</xdr:col>
      <xdr:colOff>0</xdr:colOff>
      <xdr:row>30</xdr:row>
      <xdr:rowOff>0</xdr:rowOff>
    </xdr:to>
    <xdr:pic>
      <xdr:nvPicPr>
        <xdr:cNvPr id="43" name="Graphic 42" descr="Books with solid fill">
          <a:extLst>
            <a:ext uri="{FF2B5EF4-FFF2-40B4-BE49-F238E27FC236}">
              <a16:creationId xmlns:a16="http://schemas.microsoft.com/office/drawing/2014/main" id="{23E562FB-1B9D-D99C-88C3-CB07D944C9A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1611950" y="4906350"/>
          <a:ext cx="180000" cy="180000"/>
        </a:xfrm>
        <a:prstGeom prst="rect">
          <a:avLst/>
        </a:prstGeom>
      </xdr:spPr>
    </xdr:pic>
    <xdr:clientData/>
  </xdr:twoCellAnchor>
  <xdr:twoCellAnchor editAs="oneCell">
    <xdr:from>
      <xdr:col>0</xdr:col>
      <xdr:colOff>180975</xdr:colOff>
      <xdr:row>25</xdr:row>
      <xdr:rowOff>19050</xdr:rowOff>
    </xdr:from>
    <xdr:to>
      <xdr:col>0</xdr:col>
      <xdr:colOff>352425</xdr:colOff>
      <xdr:row>26</xdr:row>
      <xdr:rowOff>0</xdr:rowOff>
    </xdr:to>
    <xdr:pic>
      <xdr:nvPicPr>
        <xdr:cNvPr id="46" name="Graphic 45" descr="Web design with solid fill">
          <a:extLst>
            <a:ext uri="{FF2B5EF4-FFF2-40B4-BE49-F238E27FC236}">
              <a16:creationId xmlns:a16="http://schemas.microsoft.com/office/drawing/2014/main" id="{A7E6D622-87E9-BE51-625A-C079E66221D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790575" y="4619625"/>
          <a:ext cx="171450" cy="171450"/>
        </a:xfrm>
        <a:prstGeom prst="rect">
          <a:avLst/>
        </a:prstGeom>
      </xdr:spPr>
    </xdr:pic>
    <xdr:clientData/>
  </xdr:twoCellAnchor>
  <xdr:oneCellAnchor>
    <xdr:from>
      <xdr:col>5</xdr:col>
      <xdr:colOff>429600</xdr:colOff>
      <xdr:row>27</xdr:row>
      <xdr:rowOff>10500</xdr:rowOff>
    </xdr:from>
    <xdr:ext cx="180000" cy="180000"/>
    <xdr:pic>
      <xdr:nvPicPr>
        <xdr:cNvPr id="47" name="Graphic 46" descr="Graduation cap with solid fill">
          <a:extLst>
            <a:ext uri="{FF2B5EF4-FFF2-40B4-BE49-F238E27FC236}">
              <a16:creationId xmlns:a16="http://schemas.microsoft.com/office/drawing/2014/main" id="{2D2ECC2C-CC4B-4481-B1C5-C45F6C66B3C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611950" y="4334850"/>
          <a:ext cx="180000" cy="180000"/>
        </a:xfrm>
        <a:prstGeom prst="rect">
          <a:avLst/>
        </a:prstGeom>
      </xdr:spPr>
    </xdr:pic>
    <xdr:clientData/>
  </xdr:oneCellAnchor>
  <xdr:oneCellAnchor>
    <xdr:from>
      <xdr:col>0</xdr:col>
      <xdr:colOff>180975</xdr:colOff>
      <xdr:row>52</xdr:row>
      <xdr:rowOff>47625</xdr:rowOff>
    </xdr:from>
    <xdr:ext cx="171450" cy="171450"/>
    <xdr:pic>
      <xdr:nvPicPr>
        <xdr:cNvPr id="48" name="Graphic 47" descr="Web design with solid fill">
          <a:extLst>
            <a:ext uri="{FF2B5EF4-FFF2-40B4-BE49-F238E27FC236}">
              <a16:creationId xmlns:a16="http://schemas.microsoft.com/office/drawing/2014/main" id="{059F6A57-01AD-47F4-AB0B-00CD09065A7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180975" y="9124950"/>
          <a:ext cx="171450" cy="171450"/>
        </a:xfrm>
        <a:prstGeom prst="rect">
          <a:avLst/>
        </a:prstGeom>
      </xdr:spPr>
    </xdr:pic>
    <xdr:clientData/>
  </xdr:oneCellAnchor>
  <xdr:oneCellAnchor>
    <xdr:from>
      <xdr:col>0</xdr:col>
      <xdr:colOff>180975</xdr:colOff>
      <xdr:row>27</xdr:row>
      <xdr:rowOff>19050</xdr:rowOff>
    </xdr:from>
    <xdr:ext cx="171450" cy="171450"/>
    <xdr:pic>
      <xdr:nvPicPr>
        <xdr:cNvPr id="49" name="Graphic 48" descr="Web design with solid fill">
          <a:extLst>
            <a:ext uri="{FF2B5EF4-FFF2-40B4-BE49-F238E27FC236}">
              <a16:creationId xmlns:a16="http://schemas.microsoft.com/office/drawing/2014/main" id="{869C61F8-C517-458E-976A-D1B8364ED3E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790575" y="5000625"/>
          <a:ext cx="171450" cy="171450"/>
        </a:xfrm>
        <a:prstGeom prst="rect">
          <a:avLst/>
        </a:prstGeom>
      </xdr:spPr>
    </xdr:pic>
    <xdr:clientData/>
  </xdr:oneCellAnchor>
  <xdr:oneCellAnchor>
    <xdr:from>
      <xdr:col>0</xdr:col>
      <xdr:colOff>180975</xdr:colOff>
      <xdr:row>29</xdr:row>
      <xdr:rowOff>19050</xdr:rowOff>
    </xdr:from>
    <xdr:ext cx="171450" cy="171450"/>
    <xdr:pic>
      <xdr:nvPicPr>
        <xdr:cNvPr id="50" name="Graphic 49" descr="Web design with solid fill">
          <a:extLst>
            <a:ext uri="{FF2B5EF4-FFF2-40B4-BE49-F238E27FC236}">
              <a16:creationId xmlns:a16="http://schemas.microsoft.com/office/drawing/2014/main" id="{9C968A2E-5736-4D52-BD8C-82656B78264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790575" y="5381625"/>
          <a:ext cx="171450" cy="171450"/>
        </a:xfrm>
        <a:prstGeom prst="rect">
          <a:avLst/>
        </a:prstGeom>
      </xdr:spPr>
    </xdr:pic>
    <xdr:clientData/>
  </xdr:oneCellAnchor>
  <xdr:twoCellAnchor editAs="oneCell">
    <xdr:from>
      <xdr:col>0</xdr:col>
      <xdr:colOff>172425</xdr:colOff>
      <xdr:row>38</xdr:row>
      <xdr:rowOff>9525</xdr:rowOff>
    </xdr:from>
    <xdr:to>
      <xdr:col>0</xdr:col>
      <xdr:colOff>352425</xdr:colOff>
      <xdr:row>38</xdr:row>
      <xdr:rowOff>189525</xdr:rowOff>
    </xdr:to>
    <xdr:pic>
      <xdr:nvPicPr>
        <xdr:cNvPr id="55" name="Graphic 54" descr="Briefcase with solid fill">
          <a:extLst>
            <a:ext uri="{FF2B5EF4-FFF2-40B4-BE49-F238E27FC236}">
              <a16:creationId xmlns:a16="http://schemas.microsoft.com/office/drawing/2014/main" id="{F4091FE2-8536-8E23-81E3-11E41B2B211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72425" y="7134225"/>
          <a:ext cx="180000" cy="180000"/>
        </a:xfrm>
        <a:prstGeom prst="rect">
          <a:avLst/>
        </a:prstGeom>
      </xdr:spPr>
    </xdr:pic>
    <xdr:clientData/>
  </xdr:twoCellAnchor>
  <xdr:twoCellAnchor editAs="oneCell">
    <xdr:from>
      <xdr:col>0</xdr:col>
      <xdr:colOff>172425</xdr:colOff>
      <xdr:row>33</xdr:row>
      <xdr:rowOff>20025</xdr:rowOff>
    </xdr:from>
    <xdr:to>
      <xdr:col>0</xdr:col>
      <xdr:colOff>352425</xdr:colOff>
      <xdr:row>34</xdr:row>
      <xdr:rowOff>9525</xdr:rowOff>
    </xdr:to>
    <xdr:pic>
      <xdr:nvPicPr>
        <xdr:cNvPr id="56" name="Graphic 55" descr="Briefcase with solid fill">
          <a:extLst>
            <a:ext uri="{FF2B5EF4-FFF2-40B4-BE49-F238E27FC236}">
              <a16:creationId xmlns:a16="http://schemas.microsoft.com/office/drawing/2014/main" id="{FF2B5C89-583F-4A56-8472-B8095FD28CC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72425" y="6192225"/>
          <a:ext cx="180000" cy="180000"/>
        </a:xfrm>
        <a:prstGeom prst="rect">
          <a:avLst/>
        </a:prstGeom>
      </xdr:spPr>
    </xdr:pic>
    <xdr:clientData/>
  </xdr:twoCellAnchor>
  <xdr:twoCellAnchor editAs="oneCell">
    <xdr:from>
      <xdr:col>0</xdr:col>
      <xdr:colOff>172425</xdr:colOff>
      <xdr:row>21</xdr:row>
      <xdr:rowOff>10500</xdr:rowOff>
    </xdr:from>
    <xdr:to>
      <xdr:col>0</xdr:col>
      <xdr:colOff>352425</xdr:colOff>
      <xdr:row>22</xdr:row>
      <xdr:rowOff>0</xdr:rowOff>
    </xdr:to>
    <xdr:pic>
      <xdr:nvPicPr>
        <xdr:cNvPr id="58" name="Graphic 57" descr="Office worker male with solid fill">
          <a:extLst>
            <a:ext uri="{FF2B5EF4-FFF2-40B4-BE49-F238E27FC236}">
              <a16:creationId xmlns:a16="http://schemas.microsoft.com/office/drawing/2014/main" id="{3DBF4362-60FB-B633-7EA2-940ADE2F74C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782025" y="3801450"/>
          <a:ext cx="180000" cy="180000"/>
        </a:xfrm>
        <a:prstGeom prst="rect">
          <a:avLst/>
        </a:prstGeom>
      </xdr:spPr>
    </xdr:pic>
    <xdr:clientData/>
  </xdr:twoCellAnchor>
  <xdr:twoCellAnchor editAs="oneCell">
    <xdr:from>
      <xdr:col>0</xdr:col>
      <xdr:colOff>136425</xdr:colOff>
      <xdr:row>16</xdr:row>
      <xdr:rowOff>47625</xdr:rowOff>
    </xdr:from>
    <xdr:to>
      <xdr:col>0</xdr:col>
      <xdr:colOff>352425</xdr:colOff>
      <xdr:row>17</xdr:row>
      <xdr:rowOff>73125</xdr:rowOff>
    </xdr:to>
    <xdr:pic>
      <xdr:nvPicPr>
        <xdr:cNvPr id="60" name="Graphic 59" descr="Spinning Plates with solid fill">
          <a:extLst>
            <a:ext uri="{FF2B5EF4-FFF2-40B4-BE49-F238E27FC236}">
              <a16:creationId xmlns:a16="http://schemas.microsoft.com/office/drawing/2014/main" id="{0519B61C-DED6-AF75-79F0-13D7BDED549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746025" y="2886075"/>
          <a:ext cx="216000" cy="216000"/>
        </a:xfrm>
        <a:prstGeom prst="rect">
          <a:avLst/>
        </a:prstGeom>
      </xdr:spPr>
    </xdr:pic>
    <xdr:clientData/>
  </xdr:twoCellAnchor>
  <xdr:twoCellAnchor editAs="oneCell">
    <xdr:from>
      <xdr:col>2</xdr:col>
      <xdr:colOff>420075</xdr:colOff>
      <xdr:row>34</xdr:row>
      <xdr:rowOff>0</xdr:rowOff>
    </xdr:from>
    <xdr:to>
      <xdr:col>2</xdr:col>
      <xdr:colOff>600075</xdr:colOff>
      <xdr:row>34</xdr:row>
      <xdr:rowOff>180000</xdr:rowOff>
    </xdr:to>
    <xdr:pic>
      <xdr:nvPicPr>
        <xdr:cNvPr id="62" name="Graphic 61" descr="Factory with solid fill">
          <a:extLst>
            <a:ext uri="{FF2B5EF4-FFF2-40B4-BE49-F238E27FC236}">
              <a16:creationId xmlns:a16="http://schemas.microsoft.com/office/drawing/2014/main" id="{5A8673C9-EF56-1D3C-5A9D-D8D38775CF1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010750" y="6362700"/>
          <a:ext cx="180000" cy="180000"/>
        </a:xfrm>
        <a:prstGeom prst="rect">
          <a:avLst/>
        </a:prstGeom>
      </xdr:spPr>
    </xdr:pic>
    <xdr:clientData/>
  </xdr:twoCellAnchor>
  <xdr:oneCellAnchor>
    <xdr:from>
      <xdr:col>2</xdr:col>
      <xdr:colOff>420075</xdr:colOff>
      <xdr:row>39</xdr:row>
      <xdr:rowOff>0</xdr:rowOff>
    </xdr:from>
    <xdr:ext cx="180000" cy="180000"/>
    <xdr:pic>
      <xdr:nvPicPr>
        <xdr:cNvPr id="63" name="Graphic 62" descr="Factory with solid fill">
          <a:extLst>
            <a:ext uri="{FF2B5EF4-FFF2-40B4-BE49-F238E27FC236}">
              <a16:creationId xmlns:a16="http://schemas.microsoft.com/office/drawing/2014/main" id="{4DCDE9E0-37C7-4E78-9860-6B8CF1DD268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010750" y="7315200"/>
          <a:ext cx="180000" cy="180000"/>
        </a:xfrm>
        <a:prstGeom prst="rect">
          <a:avLst/>
        </a:prstGeom>
      </xdr:spPr>
    </xdr:pic>
    <xdr:clientData/>
  </xdr:oneCellAnchor>
  <xdr:oneCellAnchor>
    <xdr:from>
      <xdr:col>0</xdr:col>
      <xdr:colOff>180975</xdr:colOff>
      <xdr:row>50</xdr:row>
      <xdr:rowOff>47625</xdr:rowOff>
    </xdr:from>
    <xdr:ext cx="171450" cy="171450"/>
    <xdr:pic>
      <xdr:nvPicPr>
        <xdr:cNvPr id="3" name="Graphic 2" descr="Web design with solid fill">
          <a:extLst>
            <a:ext uri="{FF2B5EF4-FFF2-40B4-BE49-F238E27FC236}">
              <a16:creationId xmlns:a16="http://schemas.microsoft.com/office/drawing/2014/main" id="{DAC41488-6969-4D11-99E0-9ECBCB48C25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180975" y="9124950"/>
          <a:ext cx="171450" cy="171450"/>
        </a:xfrm>
        <a:prstGeom prst="rect">
          <a:avLst/>
        </a:prstGeom>
      </xdr:spPr>
    </xdr:pic>
    <xdr:clientData/>
  </xdr:oneCellAnchor>
  <xdr:oneCellAnchor>
    <xdr:from>
      <xdr:col>0</xdr:col>
      <xdr:colOff>180975</xdr:colOff>
      <xdr:row>53</xdr:row>
      <xdr:rowOff>47625</xdr:rowOff>
    </xdr:from>
    <xdr:ext cx="171450" cy="171450"/>
    <xdr:pic>
      <xdr:nvPicPr>
        <xdr:cNvPr id="4" name="Graphic 3" descr="Web design with solid fill">
          <a:extLst>
            <a:ext uri="{FF2B5EF4-FFF2-40B4-BE49-F238E27FC236}">
              <a16:creationId xmlns:a16="http://schemas.microsoft.com/office/drawing/2014/main" id="{874B16BB-CE10-4D39-9710-28FF121AB83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180975" y="9124950"/>
          <a:ext cx="171450" cy="171450"/>
        </a:xfrm>
        <a:prstGeom prst="rect">
          <a:avLst/>
        </a:prstGeom>
      </xdr:spPr>
    </xdr:pic>
    <xdr:clientData/>
  </xdr:oneCellAnchor>
  <xdr:oneCellAnchor>
    <xdr:from>
      <xdr:col>0</xdr:col>
      <xdr:colOff>180975</xdr:colOff>
      <xdr:row>51</xdr:row>
      <xdr:rowOff>47625</xdr:rowOff>
    </xdr:from>
    <xdr:ext cx="171450" cy="171450"/>
    <xdr:pic>
      <xdr:nvPicPr>
        <xdr:cNvPr id="5" name="Graphic 4" descr="Web design with solid fill">
          <a:extLst>
            <a:ext uri="{FF2B5EF4-FFF2-40B4-BE49-F238E27FC236}">
              <a16:creationId xmlns:a16="http://schemas.microsoft.com/office/drawing/2014/main" id="{5FBE5166-74FB-4E54-98B5-E7F52CEB309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180975" y="9124950"/>
          <a:ext cx="171450" cy="171450"/>
        </a:xfrm>
        <a:prstGeom prst="rect">
          <a:avLst/>
        </a:prstGeom>
      </xdr:spPr>
    </xdr:pic>
    <xdr:clientData/>
  </xdr:oneCellAnchor>
  <xdr:oneCellAnchor>
    <xdr:from>
      <xdr:col>0</xdr:col>
      <xdr:colOff>180975</xdr:colOff>
      <xdr:row>48</xdr:row>
      <xdr:rowOff>47625</xdr:rowOff>
    </xdr:from>
    <xdr:ext cx="171450" cy="171450"/>
    <xdr:pic>
      <xdr:nvPicPr>
        <xdr:cNvPr id="6" name="Graphic 5" descr="Web design with solid fill">
          <a:extLst>
            <a:ext uri="{FF2B5EF4-FFF2-40B4-BE49-F238E27FC236}">
              <a16:creationId xmlns:a16="http://schemas.microsoft.com/office/drawing/2014/main" id="{E4DFB6F9-2AC6-44A4-80A8-82CB6986FC5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180975" y="9124950"/>
          <a:ext cx="171450" cy="171450"/>
        </a:xfrm>
        <a:prstGeom prst="rect">
          <a:avLst/>
        </a:prstGeom>
      </xdr:spPr>
    </xdr:pic>
    <xdr:clientData/>
  </xdr:oneCellAnchor>
  <xdr:twoCellAnchor editAs="absolute">
    <xdr:from>
      <xdr:col>2</xdr:col>
      <xdr:colOff>602930</xdr:colOff>
      <xdr:row>19</xdr:row>
      <xdr:rowOff>180975</xdr:rowOff>
    </xdr:from>
    <xdr:to>
      <xdr:col>12</xdr:col>
      <xdr:colOff>19175</xdr:colOff>
      <xdr:row>56</xdr:row>
      <xdr:rowOff>28670</xdr:rowOff>
    </xdr:to>
    <xdr:sp macro="" textlink="">
      <xdr:nvSpPr>
        <xdr:cNvPr id="9" name="Moon 8">
          <a:extLst>
            <a:ext uri="{FF2B5EF4-FFF2-40B4-BE49-F238E27FC236}">
              <a16:creationId xmlns:a16="http://schemas.microsoft.com/office/drawing/2014/main" id="{A744D838-D11E-28DD-234D-A18EC4E83542}"/>
            </a:ext>
          </a:extLst>
        </xdr:cNvPr>
        <xdr:cNvSpPr/>
      </xdr:nvSpPr>
      <xdr:spPr>
        <a:xfrm rot="10800000">
          <a:off x="1593530" y="3590925"/>
          <a:ext cx="5283645" cy="7305770"/>
        </a:xfrm>
        <a:custGeom>
          <a:avLst/>
          <a:gdLst>
            <a:gd name="connsiteX0" fmla="*/ 942975 w 942975"/>
            <a:gd name="connsiteY0" fmla="*/ 1200150 h 1200150"/>
            <a:gd name="connsiteX1" fmla="*/ 0 w 942975"/>
            <a:gd name="connsiteY1" fmla="*/ 600075 h 1200150"/>
            <a:gd name="connsiteX2" fmla="*/ 942975 w 942975"/>
            <a:gd name="connsiteY2" fmla="*/ 0 h 1200150"/>
            <a:gd name="connsiteX3" fmla="*/ 942975 w 942975"/>
            <a:gd name="connsiteY3" fmla="*/ 1200150 h 1200150"/>
            <a:gd name="connsiteX0" fmla="*/ 914400 w 914400"/>
            <a:gd name="connsiteY0" fmla="*/ 1238742 h 1238742"/>
            <a:gd name="connsiteX1" fmla="*/ 0 w 914400"/>
            <a:gd name="connsiteY1" fmla="*/ 210042 h 1238742"/>
            <a:gd name="connsiteX2" fmla="*/ 914400 w 914400"/>
            <a:gd name="connsiteY2" fmla="*/ 38592 h 1238742"/>
            <a:gd name="connsiteX3" fmla="*/ 914400 w 914400"/>
            <a:gd name="connsiteY3" fmla="*/ 1238742 h 1238742"/>
            <a:gd name="connsiteX0" fmla="*/ 914400 w 914400"/>
            <a:gd name="connsiteY0" fmla="*/ 1200150 h 1200150"/>
            <a:gd name="connsiteX1" fmla="*/ 0 w 914400"/>
            <a:gd name="connsiteY1" fmla="*/ 171450 h 1200150"/>
            <a:gd name="connsiteX2" fmla="*/ 914400 w 914400"/>
            <a:gd name="connsiteY2" fmla="*/ 0 h 1200150"/>
            <a:gd name="connsiteX3" fmla="*/ 914400 w 914400"/>
            <a:gd name="connsiteY3" fmla="*/ 1200150 h 1200150"/>
            <a:gd name="connsiteX0" fmla="*/ 933450 w 933450"/>
            <a:gd name="connsiteY0" fmla="*/ 1253284 h 1253284"/>
            <a:gd name="connsiteX1" fmla="*/ 0 w 933450"/>
            <a:gd name="connsiteY1" fmla="*/ 72184 h 1253284"/>
            <a:gd name="connsiteX2" fmla="*/ 933450 w 933450"/>
            <a:gd name="connsiteY2" fmla="*/ 53134 h 1253284"/>
            <a:gd name="connsiteX3" fmla="*/ 933450 w 933450"/>
            <a:gd name="connsiteY3" fmla="*/ 1253284 h 1253284"/>
            <a:gd name="connsiteX0" fmla="*/ 933450 w 933450"/>
            <a:gd name="connsiteY0" fmla="*/ 1201143 h 1201143"/>
            <a:gd name="connsiteX1" fmla="*/ 0 w 933450"/>
            <a:gd name="connsiteY1" fmla="*/ 20043 h 1201143"/>
            <a:gd name="connsiteX2" fmla="*/ 933450 w 933450"/>
            <a:gd name="connsiteY2" fmla="*/ 993 h 1201143"/>
            <a:gd name="connsiteX3" fmla="*/ 933450 w 933450"/>
            <a:gd name="connsiteY3" fmla="*/ 1201143 h 1201143"/>
            <a:gd name="connsiteX0" fmla="*/ 262139 w 1090814"/>
            <a:gd name="connsiteY0" fmla="*/ 1258293 h 1258293"/>
            <a:gd name="connsiteX1" fmla="*/ 157364 w 1090814"/>
            <a:gd name="connsiteY1" fmla="*/ 20043 h 1258293"/>
            <a:gd name="connsiteX2" fmla="*/ 1090814 w 1090814"/>
            <a:gd name="connsiteY2" fmla="*/ 993 h 1258293"/>
            <a:gd name="connsiteX3" fmla="*/ 262139 w 1090814"/>
            <a:gd name="connsiteY3" fmla="*/ 1258293 h 1258293"/>
            <a:gd name="connsiteX0" fmla="*/ 262139 w 1090818"/>
            <a:gd name="connsiteY0" fmla="*/ 1258293 h 1272507"/>
            <a:gd name="connsiteX1" fmla="*/ 157364 w 1090818"/>
            <a:gd name="connsiteY1" fmla="*/ 20043 h 1272507"/>
            <a:gd name="connsiteX2" fmla="*/ 1090814 w 1090818"/>
            <a:gd name="connsiteY2" fmla="*/ 993 h 1272507"/>
            <a:gd name="connsiteX3" fmla="*/ 538363 w 1090818"/>
            <a:gd name="connsiteY3" fmla="*/ 505818 h 1272507"/>
            <a:gd name="connsiteX4" fmla="*/ 262139 w 1090818"/>
            <a:gd name="connsiteY4"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04775 w 933454"/>
            <a:gd name="connsiteY0" fmla="*/ 1258293 h 1272507"/>
            <a:gd name="connsiteX1" fmla="*/ 114299 w 933454"/>
            <a:gd name="connsiteY1" fmla="*/ 705843 h 1272507"/>
            <a:gd name="connsiteX2" fmla="*/ 0 w 933454"/>
            <a:gd name="connsiteY2" fmla="*/ 20043 h 1272507"/>
            <a:gd name="connsiteX3" fmla="*/ 933450 w 933454"/>
            <a:gd name="connsiteY3" fmla="*/ 993 h 1272507"/>
            <a:gd name="connsiteX4" fmla="*/ 380999 w 933454"/>
            <a:gd name="connsiteY4" fmla="*/ 505818 h 1272507"/>
            <a:gd name="connsiteX5" fmla="*/ 104775 w 933454"/>
            <a:gd name="connsiteY5" fmla="*/ 1258293 h 1272507"/>
            <a:gd name="connsiteX0" fmla="*/ 155750 w 984429"/>
            <a:gd name="connsiteY0" fmla="*/ 1258293 h 1272507"/>
            <a:gd name="connsiteX1" fmla="*/ 50975 w 984429"/>
            <a:gd name="connsiteY1" fmla="*/ 20043 h 1272507"/>
            <a:gd name="connsiteX2" fmla="*/ 984425 w 984429"/>
            <a:gd name="connsiteY2" fmla="*/ 993 h 1272507"/>
            <a:gd name="connsiteX3" fmla="*/ 431974 w 984429"/>
            <a:gd name="connsiteY3" fmla="*/ 505818 h 1272507"/>
            <a:gd name="connsiteX4" fmla="*/ 155750 w 984429"/>
            <a:gd name="connsiteY4" fmla="*/ 1258293 h 1272507"/>
            <a:gd name="connsiteX0" fmla="*/ 104775 w 933454"/>
            <a:gd name="connsiteY0" fmla="*/ 1258293 h 1272507"/>
            <a:gd name="connsiteX1" fmla="*/ 0 w 933454"/>
            <a:gd name="connsiteY1" fmla="*/ 20043 h 1272507"/>
            <a:gd name="connsiteX2" fmla="*/ 933450 w 933454"/>
            <a:gd name="connsiteY2" fmla="*/ 993 h 1272507"/>
            <a:gd name="connsiteX3" fmla="*/ 380999 w 933454"/>
            <a:gd name="connsiteY3" fmla="*/ 505818 h 1272507"/>
            <a:gd name="connsiteX4" fmla="*/ 104775 w 933454"/>
            <a:gd name="connsiteY4" fmla="*/ 1258293 h 1272507"/>
            <a:gd name="connsiteX0" fmla="*/ 104775 w 933454"/>
            <a:gd name="connsiteY0" fmla="*/ 1257300 h 1271514"/>
            <a:gd name="connsiteX1" fmla="*/ 0 w 933454"/>
            <a:gd name="connsiteY1" fmla="*/ 19050 h 1271514"/>
            <a:gd name="connsiteX2" fmla="*/ 933450 w 933454"/>
            <a:gd name="connsiteY2" fmla="*/ 0 h 1271514"/>
            <a:gd name="connsiteX3" fmla="*/ 380999 w 933454"/>
            <a:gd name="connsiteY3" fmla="*/ 504825 h 1271514"/>
            <a:gd name="connsiteX4" fmla="*/ 104775 w 933454"/>
            <a:gd name="connsiteY4" fmla="*/ 1257300 h 1271514"/>
            <a:gd name="connsiteX0" fmla="*/ 106468 w 935147"/>
            <a:gd name="connsiteY0" fmla="*/ 1257301 h 1271515"/>
            <a:gd name="connsiteX1" fmla="*/ 0 w 935147"/>
            <a:gd name="connsiteY1" fmla="*/ 0 h 1271515"/>
            <a:gd name="connsiteX2" fmla="*/ 935143 w 935147"/>
            <a:gd name="connsiteY2" fmla="*/ 1 h 1271515"/>
            <a:gd name="connsiteX3" fmla="*/ 382692 w 935147"/>
            <a:gd name="connsiteY3" fmla="*/ 504826 h 1271515"/>
            <a:gd name="connsiteX4" fmla="*/ 106468 w 935147"/>
            <a:gd name="connsiteY4" fmla="*/ 1257301 h 1271515"/>
            <a:gd name="connsiteX0" fmla="*/ 0 w 935147"/>
            <a:gd name="connsiteY0" fmla="*/ 3310736 h 3314537"/>
            <a:gd name="connsiteX1" fmla="*/ 0 w 935147"/>
            <a:gd name="connsiteY1" fmla="*/ 0 h 3314537"/>
            <a:gd name="connsiteX2" fmla="*/ 935143 w 935147"/>
            <a:gd name="connsiteY2" fmla="*/ 1 h 3314537"/>
            <a:gd name="connsiteX3" fmla="*/ 382692 w 935147"/>
            <a:gd name="connsiteY3" fmla="*/ 504826 h 3314537"/>
            <a:gd name="connsiteX4" fmla="*/ 0 w 935147"/>
            <a:gd name="connsiteY4" fmla="*/ 3310736 h 3314537"/>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42874"/>
            <a:gd name="connsiteY0" fmla="*/ 3310736 h 3365354"/>
            <a:gd name="connsiteX1" fmla="*/ 0 w 942874"/>
            <a:gd name="connsiteY1" fmla="*/ 0 h 3365354"/>
            <a:gd name="connsiteX2" fmla="*/ 935143 w 942874"/>
            <a:gd name="connsiteY2" fmla="*/ 1 h 3365354"/>
            <a:gd name="connsiteX3" fmla="*/ 335433 w 942874"/>
            <a:gd name="connsiteY3" fmla="*/ 1679359 h 3365354"/>
            <a:gd name="connsiteX4" fmla="*/ 0 w 942874"/>
            <a:gd name="connsiteY4" fmla="*/ 3310736 h 3365354"/>
            <a:gd name="connsiteX0" fmla="*/ 0 w 939483"/>
            <a:gd name="connsiteY0" fmla="*/ 3310736 h 3365354"/>
            <a:gd name="connsiteX1" fmla="*/ 0 w 939483"/>
            <a:gd name="connsiteY1" fmla="*/ 0 h 3365354"/>
            <a:gd name="connsiteX2" fmla="*/ 935143 w 939483"/>
            <a:gd name="connsiteY2" fmla="*/ 1 h 3365354"/>
            <a:gd name="connsiteX3" fmla="*/ 335433 w 939483"/>
            <a:gd name="connsiteY3" fmla="*/ 1679359 h 3365354"/>
            <a:gd name="connsiteX4" fmla="*/ 0 w 939483"/>
            <a:gd name="connsiteY4" fmla="*/ 3310736 h 3365354"/>
            <a:gd name="connsiteX0" fmla="*/ 0 w 939483"/>
            <a:gd name="connsiteY0" fmla="*/ 3310736 h 3310736"/>
            <a:gd name="connsiteX1" fmla="*/ 0 w 939483"/>
            <a:gd name="connsiteY1" fmla="*/ 0 h 3310736"/>
            <a:gd name="connsiteX2" fmla="*/ 935143 w 939483"/>
            <a:gd name="connsiteY2" fmla="*/ 1 h 3310736"/>
            <a:gd name="connsiteX3" fmla="*/ 335433 w 939483"/>
            <a:gd name="connsiteY3" fmla="*/ 1679359 h 3310736"/>
            <a:gd name="connsiteX4" fmla="*/ 0 w 93948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335433 w 935143"/>
            <a:gd name="connsiteY3" fmla="*/ 1679359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9206"/>
            <a:gd name="connsiteY0" fmla="*/ 3310736 h 3310736"/>
            <a:gd name="connsiteX1" fmla="*/ 0 w 939206"/>
            <a:gd name="connsiteY1" fmla="*/ 0 h 3310736"/>
            <a:gd name="connsiteX2" fmla="*/ 935143 w 939206"/>
            <a:gd name="connsiteY2" fmla="*/ 1 h 3310736"/>
            <a:gd name="connsiteX3" fmla="*/ 291387 w 939206"/>
            <a:gd name="connsiteY3" fmla="*/ 1463441 h 3310736"/>
            <a:gd name="connsiteX4" fmla="*/ 0 w 939206"/>
            <a:gd name="connsiteY4" fmla="*/ 3310736 h 3310736"/>
            <a:gd name="connsiteX0" fmla="*/ 0 w 940716"/>
            <a:gd name="connsiteY0" fmla="*/ 3310736 h 3310736"/>
            <a:gd name="connsiteX1" fmla="*/ 0 w 940716"/>
            <a:gd name="connsiteY1" fmla="*/ 0 h 3310736"/>
            <a:gd name="connsiteX2" fmla="*/ 935143 w 940716"/>
            <a:gd name="connsiteY2" fmla="*/ 1 h 3310736"/>
            <a:gd name="connsiteX3" fmla="*/ 291387 w 940716"/>
            <a:gd name="connsiteY3" fmla="*/ 1463441 h 3310736"/>
            <a:gd name="connsiteX4" fmla="*/ 0 w 940716"/>
            <a:gd name="connsiteY4" fmla="*/ 3310736 h 3310736"/>
            <a:gd name="connsiteX0" fmla="*/ 0 w 941081"/>
            <a:gd name="connsiteY0" fmla="*/ 3310736 h 3310736"/>
            <a:gd name="connsiteX1" fmla="*/ 0 w 941081"/>
            <a:gd name="connsiteY1" fmla="*/ 0 h 3310736"/>
            <a:gd name="connsiteX2" fmla="*/ 935143 w 941081"/>
            <a:gd name="connsiteY2" fmla="*/ 1 h 3310736"/>
            <a:gd name="connsiteX3" fmla="*/ 311716 w 941081"/>
            <a:gd name="connsiteY3" fmla="*/ 1239527 h 3310736"/>
            <a:gd name="connsiteX4" fmla="*/ 0 w 941081"/>
            <a:gd name="connsiteY4" fmla="*/ 3310736 h 3310736"/>
            <a:gd name="connsiteX0" fmla="*/ 0 w 940811"/>
            <a:gd name="connsiteY0" fmla="*/ 3310736 h 3310736"/>
            <a:gd name="connsiteX1" fmla="*/ 0 w 940811"/>
            <a:gd name="connsiteY1" fmla="*/ 0 h 3310736"/>
            <a:gd name="connsiteX2" fmla="*/ 935143 w 940811"/>
            <a:gd name="connsiteY2" fmla="*/ 1 h 3310736"/>
            <a:gd name="connsiteX3" fmla="*/ 311716 w 940811"/>
            <a:gd name="connsiteY3" fmla="*/ 1239527 h 3310736"/>
            <a:gd name="connsiteX4" fmla="*/ 0 w 940811"/>
            <a:gd name="connsiteY4" fmla="*/ 3310736 h 3310736"/>
            <a:gd name="connsiteX0" fmla="*/ 0 w 939594"/>
            <a:gd name="connsiteY0" fmla="*/ 3310736 h 3310736"/>
            <a:gd name="connsiteX1" fmla="*/ 0 w 939594"/>
            <a:gd name="connsiteY1" fmla="*/ 0 h 3310736"/>
            <a:gd name="connsiteX2" fmla="*/ 935143 w 939594"/>
            <a:gd name="connsiteY2" fmla="*/ 1 h 3310736"/>
            <a:gd name="connsiteX3" fmla="*/ 311716 w 939594"/>
            <a:gd name="connsiteY3" fmla="*/ 1239527 h 3310736"/>
            <a:gd name="connsiteX4" fmla="*/ 0 w 939594"/>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2184 w 941356"/>
            <a:gd name="connsiteY0" fmla="*/ 3310736 h 3688713"/>
            <a:gd name="connsiteX1" fmla="*/ 2184 w 941356"/>
            <a:gd name="connsiteY1" fmla="*/ 0 h 3688713"/>
            <a:gd name="connsiteX2" fmla="*/ 937327 w 941356"/>
            <a:gd name="connsiteY2" fmla="*/ 1 h 3688713"/>
            <a:gd name="connsiteX3" fmla="*/ 271547 w 941356"/>
            <a:gd name="connsiteY3" fmla="*/ 1327493 h 3688713"/>
            <a:gd name="connsiteX4" fmla="*/ 2184 w 941356"/>
            <a:gd name="connsiteY4" fmla="*/ 3310736 h 3688713"/>
            <a:gd name="connsiteX0" fmla="*/ 2184 w 939902"/>
            <a:gd name="connsiteY0" fmla="*/ 3612860 h 3990837"/>
            <a:gd name="connsiteX1" fmla="*/ 2184 w 939902"/>
            <a:gd name="connsiteY1" fmla="*/ 302124 h 3990837"/>
            <a:gd name="connsiteX2" fmla="*/ 937327 w 939902"/>
            <a:gd name="connsiteY2" fmla="*/ 302125 h 3990837"/>
            <a:gd name="connsiteX3" fmla="*/ 271547 w 939902"/>
            <a:gd name="connsiteY3" fmla="*/ 1629617 h 3990837"/>
            <a:gd name="connsiteX4" fmla="*/ 2184 w 939902"/>
            <a:gd name="connsiteY4" fmla="*/ 3612860 h 3990837"/>
            <a:gd name="connsiteX0" fmla="*/ 2184 w 939902"/>
            <a:gd name="connsiteY0" fmla="*/ 3310736 h 3688713"/>
            <a:gd name="connsiteX1" fmla="*/ 2184 w 939902"/>
            <a:gd name="connsiteY1" fmla="*/ 0 h 3688713"/>
            <a:gd name="connsiteX2" fmla="*/ 937327 w 939902"/>
            <a:gd name="connsiteY2" fmla="*/ 1 h 3688713"/>
            <a:gd name="connsiteX3" fmla="*/ 271547 w 939902"/>
            <a:gd name="connsiteY3" fmla="*/ 1327493 h 3688713"/>
            <a:gd name="connsiteX4" fmla="*/ 2184 w 939902"/>
            <a:gd name="connsiteY4" fmla="*/ 3310736 h 3688713"/>
            <a:gd name="connsiteX0" fmla="*/ 2184 w 941752"/>
            <a:gd name="connsiteY0" fmla="*/ 3310741 h 3688718"/>
            <a:gd name="connsiteX1" fmla="*/ 2184 w 941752"/>
            <a:gd name="connsiteY1" fmla="*/ 5 h 3688718"/>
            <a:gd name="connsiteX2" fmla="*/ 937327 w 941752"/>
            <a:gd name="connsiteY2" fmla="*/ 6 h 3688718"/>
            <a:gd name="connsiteX3" fmla="*/ 271547 w 941752"/>
            <a:gd name="connsiteY3" fmla="*/ 1327498 h 3688718"/>
            <a:gd name="connsiteX4" fmla="*/ 2184 w 941752"/>
            <a:gd name="connsiteY4" fmla="*/ 3310741 h 3688718"/>
            <a:gd name="connsiteX0" fmla="*/ 2869 w 942437"/>
            <a:gd name="connsiteY0" fmla="*/ 3310741 h 3332727"/>
            <a:gd name="connsiteX1" fmla="*/ 2869 w 942437"/>
            <a:gd name="connsiteY1" fmla="*/ 5 h 3332727"/>
            <a:gd name="connsiteX2" fmla="*/ 938012 w 942437"/>
            <a:gd name="connsiteY2" fmla="*/ 6 h 3332727"/>
            <a:gd name="connsiteX3" fmla="*/ 272232 w 942437"/>
            <a:gd name="connsiteY3" fmla="*/ 1327498 h 3332727"/>
            <a:gd name="connsiteX4" fmla="*/ 2869 w 942437"/>
            <a:gd name="connsiteY4" fmla="*/ 3310741 h 3332727"/>
            <a:gd name="connsiteX0" fmla="*/ 24846 w 964329"/>
            <a:gd name="connsiteY0" fmla="*/ 3401367 h 3435362"/>
            <a:gd name="connsiteX1" fmla="*/ 24846 w 964329"/>
            <a:gd name="connsiteY1" fmla="*/ 90631 h 3435362"/>
            <a:gd name="connsiteX2" fmla="*/ 959989 w 964329"/>
            <a:gd name="connsiteY2" fmla="*/ 90632 h 3435362"/>
            <a:gd name="connsiteX3" fmla="*/ 360279 w 964329"/>
            <a:gd name="connsiteY3" fmla="*/ 1314164 h 3435362"/>
            <a:gd name="connsiteX4" fmla="*/ 24846 w 964329"/>
            <a:gd name="connsiteY4" fmla="*/ 3401367 h 3435362"/>
            <a:gd name="connsiteX0" fmla="*/ 0 w 939483"/>
            <a:gd name="connsiteY0" fmla="*/ 3401367 h 3435362"/>
            <a:gd name="connsiteX1" fmla="*/ 0 w 939483"/>
            <a:gd name="connsiteY1" fmla="*/ 90631 h 3435362"/>
            <a:gd name="connsiteX2" fmla="*/ 935143 w 939483"/>
            <a:gd name="connsiteY2" fmla="*/ 90632 h 3435362"/>
            <a:gd name="connsiteX3" fmla="*/ 335433 w 939483"/>
            <a:gd name="connsiteY3" fmla="*/ 1314164 h 3435362"/>
            <a:gd name="connsiteX4" fmla="*/ 0 w 939483"/>
            <a:gd name="connsiteY4" fmla="*/ 3401367 h 3435362"/>
            <a:gd name="connsiteX0" fmla="*/ 78 w 939561"/>
            <a:gd name="connsiteY0" fmla="*/ 3401367 h 3455659"/>
            <a:gd name="connsiteX1" fmla="*/ 78 w 939561"/>
            <a:gd name="connsiteY1" fmla="*/ 90631 h 3455659"/>
            <a:gd name="connsiteX2" fmla="*/ 935221 w 939561"/>
            <a:gd name="connsiteY2" fmla="*/ 90632 h 3455659"/>
            <a:gd name="connsiteX3" fmla="*/ 335511 w 939561"/>
            <a:gd name="connsiteY3" fmla="*/ 1314164 h 3455659"/>
            <a:gd name="connsiteX4" fmla="*/ 78 w 939561"/>
            <a:gd name="connsiteY4" fmla="*/ 3401367 h 3455659"/>
            <a:gd name="connsiteX0" fmla="*/ 78 w 939561"/>
            <a:gd name="connsiteY0" fmla="*/ 3310736 h 3365028"/>
            <a:gd name="connsiteX1" fmla="*/ 78 w 939561"/>
            <a:gd name="connsiteY1" fmla="*/ 0 h 3365028"/>
            <a:gd name="connsiteX2" fmla="*/ 935221 w 939561"/>
            <a:gd name="connsiteY2" fmla="*/ 1 h 3365028"/>
            <a:gd name="connsiteX3" fmla="*/ 335511 w 939561"/>
            <a:gd name="connsiteY3" fmla="*/ 1223533 h 3365028"/>
            <a:gd name="connsiteX4" fmla="*/ 78 w 939561"/>
            <a:gd name="connsiteY4" fmla="*/ 3310736 h 3365028"/>
            <a:gd name="connsiteX0" fmla="*/ 78 w 938432"/>
            <a:gd name="connsiteY0" fmla="*/ 3310752 h 3365044"/>
            <a:gd name="connsiteX1" fmla="*/ 78 w 938432"/>
            <a:gd name="connsiteY1" fmla="*/ 16 h 3365044"/>
            <a:gd name="connsiteX2" fmla="*/ 935221 w 938432"/>
            <a:gd name="connsiteY2" fmla="*/ 17 h 3365044"/>
            <a:gd name="connsiteX3" fmla="*/ 335511 w 938432"/>
            <a:gd name="connsiteY3" fmla="*/ 1223549 h 3365044"/>
            <a:gd name="connsiteX4" fmla="*/ 78 w 938432"/>
            <a:gd name="connsiteY4" fmla="*/ 3310752 h 3365044"/>
            <a:gd name="connsiteX0" fmla="*/ 37 w 938611"/>
            <a:gd name="connsiteY0" fmla="*/ 3310752 h 3367422"/>
            <a:gd name="connsiteX1" fmla="*/ 37 w 938611"/>
            <a:gd name="connsiteY1" fmla="*/ 16 h 3367422"/>
            <a:gd name="connsiteX2" fmla="*/ 935180 w 938611"/>
            <a:gd name="connsiteY2" fmla="*/ 17 h 3367422"/>
            <a:gd name="connsiteX3" fmla="*/ 369352 w 938611"/>
            <a:gd name="connsiteY3" fmla="*/ 1271531 h 3367422"/>
            <a:gd name="connsiteX4" fmla="*/ 37 w 938611"/>
            <a:gd name="connsiteY4" fmla="*/ 3310752 h 3367422"/>
            <a:gd name="connsiteX0" fmla="*/ 13 w 938874"/>
            <a:gd name="connsiteY0" fmla="*/ 3310755 h 3342063"/>
            <a:gd name="connsiteX1" fmla="*/ 13 w 938874"/>
            <a:gd name="connsiteY1" fmla="*/ 19 h 3342063"/>
            <a:gd name="connsiteX2" fmla="*/ 935156 w 938874"/>
            <a:gd name="connsiteY2" fmla="*/ 20 h 3342063"/>
            <a:gd name="connsiteX3" fmla="*/ 369328 w 938874"/>
            <a:gd name="connsiteY3" fmla="*/ 1271534 h 3342063"/>
            <a:gd name="connsiteX4" fmla="*/ 13 w 938874"/>
            <a:gd name="connsiteY4" fmla="*/ 3310755 h 3342063"/>
            <a:gd name="connsiteX0" fmla="*/ 23 w 939744"/>
            <a:gd name="connsiteY0" fmla="*/ 3310816 h 3351420"/>
            <a:gd name="connsiteX1" fmla="*/ 23 w 939744"/>
            <a:gd name="connsiteY1" fmla="*/ 80 h 3351420"/>
            <a:gd name="connsiteX2" fmla="*/ 935166 w 939744"/>
            <a:gd name="connsiteY2" fmla="*/ 81 h 3351420"/>
            <a:gd name="connsiteX3" fmla="*/ 369338 w 939744"/>
            <a:gd name="connsiteY3" fmla="*/ 1271595 h 3351420"/>
            <a:gd name="connsiteX4" fmla="*/ 23 w 939744"/>
            <a:gd name="connsiteY4" fmla="*/ 3310816 h 3351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39744" h="3351420">
              <a:moveTo>
                <a:pt x="23" y="3310816"/>
              </a:moveTo>
              <a:lnTo>
                <a:pt x="23" y="80"/>
              </a:lnTo>
              <a:lnTo>
                <a:pt x="935166" y="81"/>
              </a:lnTo>
              <a:cubicBezTo>
                <a:pt x="982601" y="-3917"/>
                <a:pt x="652252" y="136029"/>
                <a:pt x="369338" y="1271595"/>
              </a:cubicBezTo>
              <a:cubicBezTo>
                <a:pt x="86424" y="2407161"/>
                <a:pt x="-1672" y="3586711"/>
                <a:pt x="23" y="3310816"/>
              </a:cubicBezTo>
              <a:close/>
            </a:path>
          </a:pathLst>
        </a:custGeom>
        <a:solidFill>
          <a:schemeClr val="accent5">
            <a:lumMod val="60000"/>
            <a:lumOff val="40000"/>
            <a:alpha val="2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0</xdr:col>
      <xdr:colOff>180975</xdr:colOff>
      <xdr:row>49</xdr:row>
      <xdr:rowOff>47625</xdr:rowOff>
    </xdr:from>
    <xdr:ext cx="171450" cy="171450"/>
    <xdr:pic>
      <xdr:nvPicPr>
        <xdr:cNvPr id="2" name="Graphic 1" descr="Web design with solid fill">
          <a:extLst>
            <a:ext uri="{FF2B5EF4-FFF2-40B4-BE49-F238E27FC236}">
              <a16:creationId xmlns:a16="http://schemas.microsoft.com/office/drawing/2014/main" id="{634C3C2B-9CAD-4BC4-A9F7-D2DDE8B7C79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flipH="1">
          <a:off x="180975" y="10077450"/>
          <a:ext cx="171450" cy="171450"/>
        </a:xfrm>
        <a:prstGeom prst="rect">
          <a:avLst/>
        </a:prstGeom>
      </xdr:spPr>
    </xdr:pic>
    <xdr:clientData/>
  </xdr:oneCellAnchor>
  <xdr:twoCellAnchor>
    <xdr:from>
      <xdr:col>5</xdr:col>
      <xdr:colOff>285750</xdr:colOff>
      <xdr:row>24</xdr:row>
      <xdr:rowOff>142875</xdr:rowOff>
    </xdr:from>
    <xdr:to>
      <xdr:col>5</xdr:col>
      <xdr:colOff>285750</xdr:colOff>
      <xdr:row>30</xdr:row>
      <xdr:rowOff>180975</xdr:rowOff>
    </xdr:to>
    <xdr:cxnSp macro="">
      <xdr:nvCxnSpPr>
        <xdr:cNvPr id="10" name="Straight Connector 9">
          <a:extLst>
            <a:ext uri="{FF2B5EF4-FFF2-40B4-BE49-F238E27FC236}">
              <a16:creationId xmlns:a16="http://schemas.microsoft.com/office/drawing/2014/main" id="{8B1AF0D7-0F6C-37FC-62A2-A00ECF0F3E35}"/>
            </a:ext>
          </a:extLst>
        </xdr:cNvPr>
        <xdr:cNvCxnSpPr/>
      </xdr:nvCxnSpPr>
      <xdr:spPr>
        <a:xfrm>
          <a:off x="3105150" y="4552950"/>
          <a:ext cx="0" cy="114300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0</xdr:colOff>
      <xdr:row>0</xdr:row>
      <xdr:rowOff>66675</xdr:rowOff>
    </xdr:from>
    <xdr:ext cx="1218867" cy="1219200"/>
    <xdr:pic>
      <xdr:nvPicPr>
        <xdr:cNvPr id="2" name="Picture 3">
          <a:extLst>
            <a:ext uri="{FF2B5EF4-FFF2-40B4-BE49-F238E27FC236}">
              <a16:creationId xmlns:a16="http://schemas.microsoft.com/office/drawing/2014/main" id="{F6DAD622-064C-45B2-89B4-AF3DAF149520}"/>
            </a:ext>
          </a:extLst>
        </xdr:cNvPr>
        <xdr:cNvPicPr>
          <a:picLocks noChangeAspect="1" noChangeArrowheads="1"/>
        </xdr:cNvPicPr>
      </xdr:nvPicPr>
      <xdr:blipFill rotWithShape="1">
        <a:blip xmlns:r="http://schemas.openxmlformats.org/officeDocument/2006/relationships" r:embed="rId1" cstate="screen">
          <a:extLst>
            <a:ext uri="{BEBA8EAE-BF5A-486C-A8C5-ECC9F3942E4B}">
              <a14:imgProps xmlns:a14="http://schemas.microsoft.com/office/drawing/2010/main">
                <a14:imgLayer r:embed="rId2">
                  <a14:imgEffect>
                    <a14:backgroundRemoval t="1176" b="100000" l="2985" r="96642">
                      <a14:foregroundMark x1="35448" y1="5882" x2="64179" y2="6667"/>
                      <a14:foregroundMark x1="48881" y1="1176" x2="48881" y2="1176"/>
                      <a14:foregroundMark x1="64179" y1="92549" x2="64179" y2="92549"/>
                      <a14:foregroundMark x1="70149" y1="90980" x2="68284" y2="99608"/>
                      <a14:foregroundMark x1="31716" y1="83137" x2="57463" y2="99608"/>
                      <a14:foregroundMark x1="75000" y1="85490" x2="75000" y2="99608"/>
                      <a14:foregroundMark x1="73507" y1="82745" x2="86940" y2="99608"/>
                      <a14:foregroundMark x1="89925" y1="91765" x2="92164" y2="92941"/>
                      <a14:foregroundMark x1="94030" y1="88627" x2="93657" y2="99608"/>
                      <a14:foregroundMark x1="27239" y1="86275" x2="36567" y2="99608"/>
                      <a14:foregroundMark x1="23134" y1="84706" x2="3731" y2="92941"/>
                      <a14:foregroundMark x1="96642" y1="92941" x2="96642" y2="99608"/>
                    </a14:backgroundRemoval>
                  </a14:imgEffect>
                  <a14:imgEffect>
                    <a14:colorTemperature colorTemp="8800"/>
                  </a14:imgEffect>
                </a14:imgLayer>
              </a14:imgProps>
            </a:ext>
            <a:ext uri="{28A0092B-C50C-407E-A947-70E740481C1C}">
              <a14:useLocalDpi xmlns:a14="http://schemas.microsoft.com/office/drawing/2010/main"/>
            </a:ext>
          </a:extLst>
        </a:blip>
        <a:srcRect/>
        <a:stretch/>
      </xdr:blipFill>
      <xdr:spPr bwMode="auto">
        <a:xfrm>
          <a:off x="381000" y="66675"/>
          <a:ext cx="1218867" cy="1219200"/>
        </a:xfrm>
        <a:prstGeom prst="rect">
          <a:avLst/>
        </a:prstGeom>
        <a:ln>
          <a:noFill/>
        </a:ln>
        <a:effectLst>
          <a:outerShdw blurRad="101600" dir="1560000" sx="99000" sy="99000" algn="tl" rotWithShape="0">
            <a:schemeClr val="accent1">
              <a:lumMod val="75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401025</xdr:colOff>
      <xdr:row>9</xdr:row>
      <xdr:rowOff>10500</xdr:rowOff>
    </xdr:from>
    <xdr:to>
      <xdr:col>4</xdr:col>
      <xdr:colOff>581025</xdr:colOff>
      <xdr:row>10</xdr:row>
      <xdr:rowOff>0</xdr:rowOff>
    </xdr:to>
    <xdr:pic>
      <xdr:nvPicPr>
        <xdr:cNvPr id="3" name="Graphic 2" descr="Receiver with solid fill">
          <a:extLst>
            <a:ext uri="{FF2B5EF4-FFF2-40B4-BE49-F238E27FC236}">
              <a16:creationId xmlns:a16="http://schemas.microsoft.com/office/drawing/2014/main" id="{78C7E173-7973-4DA6-BB79-47DED06E4E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610825" y="1848825"/>
          <a:ext cx="180000" cy="180000"/>
        </a:xfrm>
        <a:prstGeom prst="rect">
          <a:avLst/>
        </a:prstGeom>
      </xdr:spPr>
    </xdr:pic>
    <xdr:clientData/>
  </xdr:twoCellAnchor>
  <xdr:twoCellAnchor editAs="oneCell">
    <xdr:from>
      <xdr:col>4</xdr:col>
      <xdr:colOff>410550</xdr:colOff>
      <xdr:row>10</xdr:row>
      <xdr:rowOff>20025</xdr:rowOff>
    </xdr:from>
    <xdr:to>
      <xdr:col>4</xdr:col>
      <xdr:colOff>590550</xdr:colOff>
      <xdr:row>11</xdr:row>
      <xdr:rowOff>9525</xdr:rowOff>
    </xdr:to>
    <xdr:pic>
      <xdr:nvPicPr>
        <xdr:cNvPr id="5" name="Graphic 4" descr="Email with solid fill">
          <a:extLst>
            <a:ext uri="{FF2B5EF4-FFF2-40B4-BE49-F238E27FC236}">
              <a16:creationId xmlns:a16="http://schemas.microsoft.com/office/drawing/2014/main" id="{8457B947-7C70-4DF7-A18B-AB46B60986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620350" y="1801200"/>
          <a:ext cx="180000" cy="180000"/>
        </a:xfrm>
        <a:prstGeom prst="rect">
          <a:avLst/>
        </a:prstGeom>
      </xdr:spPr>
    </xdr:pic>
    <xdr:clientData/>
  </xdr:twoCellAnchor>
  <xdr:twoCellAnchor editAs="oneCell">
    <xdr:from>
      <xdr:col>0</xdr:col>
      <xdr:colOff>162900</xdr:colOff>
      <xdr:row>9</xdr:row>
      <xdr:rowOff>114300</xdr:rowOff>
    </xdr:from>
    <xdr:to>
      <xdr:col>0</xdr:col>
      <xdr:colOff>342900</xdr:colOff>
      <xdr:row>10</xdr:row>
      <xdr:rowOff>103800</xdr:rowOff>
    </xdr:to>
    <xdr:pic>
      <xdr:nvPicPr>
        <xdr:cNvPr id="6" name="Graphic 5" descr="Home with solid fill">
          <a:extLst>
            <a:ext uri="{FF2B5EF4-FFF2-40B4-BE49-F238E27FC236}">
              <a16:creationId xmlns:a16="http://schemas.microsoft.com/office/drawing/2014/main" id="{F68FD277-677D-42B7-9F1E-8A992508058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2900" y="1704975"/>
          <a:ext cx="180000" cy="180000"/>
        </a:xfrm>
        <a:prstGeom prst="rect">
          <a:avLst/>
        </a:prstGeom>
      </xdr:spPr>
    </xdr:pic>
    <xdr:clientData/>
  </xdr:twoCellAnchor>
  <xdr:twoCellAnchor editAs="oneCell">
    <xdr:from>
      <xdr:col>8</xdr:col>
      <xdr:colOff>401025</xdr:colOff>
      <xdr:row>9</xdr:row>
      <xdr:rowOff>104775</xdr:rowOff>
    </xdr:from>
    <xdr:to>
      <xdr:col>8</xdr:col>
      <xdr:colOff>581025</xdr:colOff>
      <xdr:row>10</xdr:row>
      <xdr:rowOff>94275</xdr:rowOff>
    </xdr:to>
    <xdr:pic>
      <xdr:nvPicPr>
        <xdr:cNvPr id="7" name="Graphic 6" descr="Speech with solid fill">
          <a:extLst>
            <a:ext uri="{FF2B5EF4-FFF2-40B4-BE49-F238E27FC236}">
              <a16:creationId xmlns:a16="http://schemas.microsoft.com/office/drawing/2014/main" id="{991C136A-D48C-4049-9D48-EA4A87DD0DD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049225" y="1695450"/>
          <a:ext cx="180000" cy="180000"/>
        </a:xfrm>
        <a:prstGeom prst="rect">
          <a:avLst/>
        </a:prstGeom>
      </xdr:spPr>
    </xdr:pic>
    <xdr:clientData/>
  </xdr:twoCellAnchor>
  <xdr:twoCellAnchor editAs="oneCell">
    <xdr:from>
      <xdr:col>5</xdr:col>
      <xdr:colOff>410700</xdr:colOff>
      <xdr:row>33</xdr:row>
      <xdr:rowOff>29700</xdr:rowOff>
    </xdr:from>
    <xdr:to>
      <xdr:col>6</xdr:col>
      <xdr:colOff>18900</xdr:colOff>
      <xdr:row>34</xdr:row>
      <xdr:rowOff>18900</xdr:rowOff>
    </xdr:to>
    <xdr:pic>
      <xdr:nvPicPr>
        <xdr:cNvPr id="8" name="Graphic 7" descr="Graduation cap with solid fill">
          <a:extLst>
            <a:ext uri="{FF2B5EF4-FFF2-40B4-BE49-F238E27FC236}">
              <a16:creationId xmlns:a16="http://schemas.microsoft.com/office/drawing/2014/main" id="{9C455854-3ADE-4E58-A104-F2E78806F6C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230100" y="5944725"/>
          <a:ext cx="217800" cy="217800"/>
        </a:xfrm>
        <a:prstGeom prst="rect">
          <a:avLst/>
        </a:prstGeom>
      </xdr:spPr>
    </xdr:pic>
    <xdr:clientData/>
  </xdr:twoCellAnchor>
  <xdr:twoCellAnchor editAs="oneCell">
    <xdr:from>
      <xdr:col>5</xdr:col>
      <xdr:colOff>429600</xdr:colOff>
      <xdr:row>37</xdr:row>
      <xdr:rowOff>48600</xdr:rowOff>
    </xdr:from>
    <xdr:to>
      <xdr:col>6</xdr:col>
      <xdr:colOff>0</xdr:colOff>
      <xdr:row>38</xdr:row>
      <xdr:rowOff>0</xdr:rowOff>
    </xdr:to>
    <xdr:pic>
      <xdr:nvPicPr>
        <xdr:cNvPr id="9" name="Graphic 8" descr="Books with solid fill">
          <a:extLst>
            <a:ext uri="{FF2B5EF4-FFF2-40B4-BE49-F238E27FC236}">
              <a16:creationId xmlns:a16="http://schemas.microsoft.com/office/drawing/2014/main" id="{29A923F9-F188-4FB0-A421-BB70919A447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249000" y="6382725"/>
          <a:ext cx="180000" cy="180000"/>
        </a:xfrm>
        <a:prstGeom prst="rect">
          <a:avLst/>
        </a:prstGeom>
      </xdr:spPr>
    </xdr:pic>
    <xdr:clientData/>
  </xdr:twoCellAnchor>
  <xdr:twoCellAnchor editAs="oneCell">
    <xdr:from>
      <xdr:col>0</xdr:col>
      <xdr:colOff>172403</xdr:colOff>
      <xdr:row>33</xdr:row>
      <xdr:rowOff>48578</xdr:rowOff>
    </xdr:from>
    <xdr:to>
      <xdr:col>0</xdr:col>
      <xdr:colOff>360998</xdr:colOff>
      <xdr:row>34</xdr:row>
      <xdr:rowOff>8573</xdr:rowOff>
    </xdr:to>
    <xdr:pic>
      <xdr:nvPicPr>
        <xdr:cNvPr id="10" name="Graphic 9" descr="Web design with solid fill">
          <a:extLst>
            <a:ext uri="{FF2B5EF4-FFF2-40B4-BE49-F238E27FC236}">
              <a16:creationId xmlns:a16="http://schemas.microsoft.com/office/drawing/2014/main" id="{65A5DBD2-5412-4509-B598-4F2B84DC235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5963603"/>
          <a:ext cx="188595" cy="188595"/>
        </a:xfrm>
        <a:prstGeom prst="rect">
          <a:avLst/>
        </a:prstGeom>
      </xdr:spPr>
    </xdr:pic>
    <xdr:clientData/>
  </xdr:twoCellAnchor>
  <xdr:oneCellAnchor>
    <xdr:from>
      <xdr:col>5</xdr:col>
      <xdr:colOff>410700</xdr:colOff>
      <xdr:row>35</xdr:row>
      <xdr:rowOff>29700</xdr:rowOff>
    </xdr:from>
    <xdr:ext cx="217800" cy="217800"/>
    <xdr:pic>
      <xdr:nvPicPr>
        <xdr:cNvPr id="11" name="Graphic 10" descr="Graduation cap with solid fill">
          <a:extLst>
            <a:ext uri="{FF2B5EF4-FFF2-40B4-BE49-F238E27FC236}">
              <a16:creationId xmlns:a16="http://schemas.microsoft.com/office/drawing/2014/main" id="{EE514A75-EC0C-423E-8B23-397E96543BF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230100" y="6363825"/>
          <a:ext cx="217800" cy="217800"/>
        </a:xfrm>
        <a:prstGeom prst="rect">
          <a:avLst/>
        </a:prstGeom>
      </xdr:spPr>
    </xdr:pic>
    <xdr:clientData/>
  </xdr:oneCellAnchor>
  <xdr:oneCellAnchor>
    <xdr:from>
      <xdr:col>0</xdr:col>
      <xdr:colOff>172403</xdr:colOff>
      <xdr:row>28</xdr:row>
      <xdr:rowOff>39053</xdr:rowOff>
    </xdr:from>
    <xdr:ext cx="188595" cy="188595"/>
    <xdr:pic>
      <xdr:nvPicPr>
        <xdr:cNvPr id="12" name="Graphic 11" descr="Web design with solid fill">
          <a:extLst>
            <a:ext uri="{FF2B5EF4-FFF2-40B4-BE49-F238E27FC236}">
              <a16:creationId xmlns:a16="http://schemas.microsoft.com/office/drawing/2014/main" id="{AACC2D3F-FC16-46CB-B87A-5D6229DD891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5020628"/>
          <a:ext cx="188595" cy="188595"/>
        </a:xfrm>
        <a:prstGeom prst="rect">
          <a:avLst/>
        </a:prstGeom>
      </xdr:spPr>
    </xdr:pic>
    <xdr:clientData/>
  </xdr:oneCellAnchor>
  <xdr:oneCellAnchor>
    <xdr:from>
      <xdr:col>0</xdr:col>
      <xdr:colOff>172403</xdr:colOff>
      <xdr:row>35</xdr:row>
      <xdr:rowOff>48578</xdr:rowOff>
    </xdr:from>
    <xdr:ext cx="188595" cy="188595"/>
    <xdr:pic>
      <xdr:nvPicPr>
        <xdr:cNvPr id="13" name="Graphic 12" descr="Web design with solid fill">
          <a:extLst>
            <a:ext uri="{FF2B5EF4-FFF2-40B4-BE49-F238E27FC236}">
              <a16:creationId xmlns:a16="http://schemas.microsoft.com/office/drawing/2014/main" id="{D96D06DB-9BE1-42BC-8D0D-3E14DAB9369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6382703"/>
          <a:ext cx="188595" cy="188595"/>
        </a:xfrm>
        <a:prstGeom prst="rect">
          <a:avLst/>
        </a:prstGeom>
      </xdr:spPr>
    </xdr:pic>
    <xdr:clientData/>
  </xdr:oneCellAnchor>
  <xdr:oneCellAnchor>
    <xdr:from>
      <xdr:col>0</xdr:col>
      <xdr:colOff>172403</xdr:colOff>
      <xdr:row>37</xdr:row>
      <xdr:rowOff>48578</xdr:rowOff>
    </xdr:from>
    <xdr:ext cx="188595" cy="188595"/>
    <xdr:pic>
      <xdr:nvPicPr>
        <xdr:cNvPr id="14" name="Graphic 13" descr="Web design with solid fill">
          <a:extLst>
            <a:ext uri="{FF2B5EF4-FFF2-40B4-BE49-F238E27FC236}">
              <a16:creationId xmlns:a16="http://schemas.microsoft.com/office/drawing/2014/main" id="{033D0F22-B242-4C80-832D-97D4C53B2FB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6801803"/>
          <a:ext cx="188595" cy="188595"/>
        </a:xfrm>
        <a:prstGeom prst="rect">
          <a:avLst/>
        </a:prstGeom>
      </xdr:spPr>
    </xdr:pic>
    <xdr:clientData/>
  </xdr:oneCellAnchor>
  <xdr:twoCellAnchor editAs="oneCell">
    <xdr:from>
      <xdr:col>0</xdr:col>
      <xdr:colOff>172425</xdr:colOff>
      <xdr:row>47</xdr:row>
      <xdr:rowOff>9525</xdr:rowOff>
    </xdr:from>
    <xdr:to>
      <xdr:col>0</xdr:col>
      <xdr:colOff>352425</xdr:colOff>
      <xdr:row>47</xdr:row>
      <xdr:rowOff>189525</xdr:rowOff>
    </xdr:to>
    <xdr:pic>
      <xdr:nvPicPr>
        <xdr:cNvPr id="15" name="Graphic 14" descr="Briefcase with solid fill">
          <a:extLst>
            <a:ext uri="{FF2B5EF4-FFF2-40B4-BE49-F238E27FC236}">
              <a16:creationId xmlns:a16="http://schemas.microsoft.com/office/drawing/2014/main" id="{A790E858-AD57-428B-8BE0-DE868C3B188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72425" y="7096125"/>
          <a:ext cx="180000" cy="180000"/>
        </a:xfrm>
        <a:prstGeom prst="rect">
          <a:avLst/>
        </a:prstGeom>
      </xdr:spPr>
    </xdr:pic>
    <xdr:clientData/>
  </xdr:twoCellAnchor>
  <xdr:twoCellAnchor editAs="oneCell">
    <xdr:from>
      <xdr:col>0</xdr:col>
      <xdr:colOff>172425</xdr:colOff>
      <xdr:row>41</xdr:row>
      <xdr:rowOff>20025</xdr:rowOff>
    </xdr:from>
    <xdr:to>
      <xdr:col>0</xdr:col>
      <xdr:colOff>352425</xdr:colOff>
      <xdr:row>42</xdr:row>
      <xdr:rowOff>9525</xdr:rowOff>
    </xdr:to>
    <xdr:pic>
      <xdr:nvPicPr>
        <xdr:cNvPr id="16" name="Graphic 15" descr="Briefcase with solid fill">
          <a:extLst>
            <a:ext uri="{FF2B5EF4-FFF2-40B4-BE49-F238E27FC236}">
              <a16:creationId xmlns:a16="http://schemas.microsoft.com/office/drawing/2014/main" id="{03E3877E-EEC5-4846-B366-823C70019EC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72425" y="6154125"/>
          <a:ext cx="180000" cy="180000"/>
        </a:xfrm>
        <a:prstGeom prst="rect">
          <a:avLst/>
        </a:prstGeom>
      </xdr:spPr>
    </xdr:pic>
    <xdr:clientData/>
  </xdr:twoCellAnchor>
  <xdr:twoCellAnchor editAs="oneCell">
    <xdr:from>
      <xdr:col>0</xdr:col>
      <xdr:colOff>153525</xdr:colOff>
      <xdr:row>17</xdr:row>
      <xdr:rowOff>115425</xdr:rowOff>
    </xdr:from>
    <xdr:to>
      <xdr:col>0</xdr:col>
      <xdr:colOff>371325</xdr:colOff>
      <xdr:row>19</xdr:row>
      <xdr:rowOff>28425</xdr:rowOff>
    </xdr:to>
    <xdr:pic>
      <xdr:nvPicPr>
        <xdr:cNvPr id="17" name="Graphic 16" descr="Office worker male with solid fill">
          <a:extLst>
            <a:ext uri="{FF2B5EF4-FFF2-40B4-BE49-F238E27FC236}">
              <a16:creationId xmlns:a16="http://schemas.microsoft.com/office/drawing/2014/main" id="{23B09C22-E96B-41F6-BF9B-0CCFADAE654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53525" y="3163425"/>
          <a:ext cx="217800" cy="217800"/>
        </a:xfrm>
        <a:prstGeom prst="rect">
          <a:avLst/>
        </a:prstGeom>
      </xdr:spPr>
    </xdr:pic>
    <xdr:clientData/>
  </xdr:twoCellAnchor>
  <xdr:twoCellAnchor editAs="oneCell">
    <xdr:from>
      <xdr:col>0</xdr:col>
      <xdr:colOff>104220</xdr:colOff>
      <xdr:row>14</xdr:row>
      <xdr:rowOff>63045</xdr:rowOff>
    </xdr:from>
    <xdr:to>
      <xdr:col>0</xdr:col>
      <xdr:colOff>365580</xdr:colOff>
      <xdr:row>15</xdr:row>
      <xdr:rowOff>133905</xdr:rowOff>
    </xdr:to>
    <xdr:pic>
      <xdr:nvPicPr>
        <xdr:cNvPr id="18" name="Graphic 17" descr="Spinning Plates with solid fill">
          <a:extLst>
            <a:ext uri="{FF2B5EF4-FFF2-40B4-BE49-F238E27FC236}">
              <a16:creationId xmlns:a16="http://schemas.microsoft.com/office/drawing/2014/main" id="{8492849E-B1E6-4014-836D-2B9223BAE71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04220" y="2539545"/>
          <a:ext cx="261360" cy="261360"/>
        </a:xfrm>
        <a:prstGeom prst="rect">
          <a:avLst/>
        </a:prstGeom>
      </xdr:spPr>
    </xdr:pic>
    <xdr:clientData/>
  </xdr:twoCellAnchor>
  <xdr:twoCellAnchor editAs="oneCell">
    <xdr:from>
      <xdr:col>2</xdr:col>
      <xdr:colOff>420075</xdr:colOff>
      <xdr:row>42</xdr:row>
      <xdr:rowOff>19050</xdr:rowOff>
    </xdr:from>
    <xdr:to>
      <xdr:col>2</xdr:col>
      <xdr:colOff>600075</xdr:colOff>
      <xdr:row>42</xdr:row>
      <xdr:rowOff>199050</xdr:rowOff>
    </xdr:to>
    <xdr:pic>
      <xdr:nvPicPr>
        <xdr:cNvPr id="19" name="Graphic 18" descr="Factory with solid fill">
          <a:extLst>
            <a:ext uri="{FF2B5EF4-FFF2-40B4-BE49-F238E27FC236}">
              <a16:creationId xmlns:a16="http://schemas.microsoft.com/office/drawing/2014/main" id="{98B69572-01A0-47B8-8BA9-1EDA2812D90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410675" y="7810500"/>
          <a:ext cx="180000" cy="180000"/>
        </a:xfrm>
        <a:prstGeom prst="rect">
          <a:avLst/>
        </a:prstGeom>
      </xdr:spPr>
    </xdr:pic>
    <xdr:clientData/>
  </xdr:twoCellAnchor>
  <xdr:oneCellAnchor>
    <xdr:from>
      <xdr:col>2</xdr:col>
      <xdr:colOff>420075</xdr:colOff>
      <xdr:row>48</xdr:row>
      <xdr:rowOff>19050</xdr:rowOff>
    </xdr:from>
    <xdr:ext cx="180000" cy="180000"/>
    <xdr:pic>
      <xdr:nvPicPr>
        <xdr:cNvPr id="20" name="Graphic 19" descr="Factory with solid fill">
          <a:extLst>
            <a:ext uri="{FF2B5EF4-FFF2-40B4-BE49-F238E27FC236}">
              <a16:creationId xmlns:a16="http://schemas.microsoft.com/office/drawing/2014/main" id="{08E8672B-1B95-4CBF-A4CB-6F1E9B7731D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410675" y="9029700"/>
          <a:ext cx="180000" cy="180000"/>
        </a:xfrm>
        <a:prstGeom prst="rect">
          <a:avLst/>
        </a:prstGeom>
      </xdr:spPr>
    </xdr:pic>
    <xdr:clientData/>
  </xdr:oneCellAnchor>
  <xdr:oneCellAnchor>
    <xdr:from>
      <xdr:col>0</xdr:col>
      <xdr:colOff>172403</xdr:colOff>
      <xdr:row>26</xdr:row>
      <xdr:rowOff>39053</xdr:rowOff>
    </xdr:from>
    <xdr:ext cx="188595" cy="188595"/>
    <xdr:pic>
      <xdr:nvPicPr>
        <xdr:cNvPr id="21" name="Graphic 20" descr="Web design with solid fill">
          <a:extLst>
            <a:ext uri="{FF2B5EF4-FFF2-40B4-BE49-F238E27FC236}">
              <a16:creationId xmlns:a16="http://schemas.microsoft.com/office/drawing/2014/main" id="{C7DA8451-6448-4031-9A81-74E6C1A2A99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563428"/>
          <a:ext cx="188595" cy="188595"/>
        </a:xfrm>
        <a:prstGeom prst="rect">
          <a:avLst/>
        </a:prstGeom>
      </xdr:spPr>
    </xdr:pic>
    <xdr:clientData/>
  </xdr:oneCellAnchor>
  <xdr:oneCellAnchor>
    <xdr:from>
      <xdr:col>0</xdr:col>
      <xdr:colOff>172403</xdr:colOff>
      <xdr:row>29</xdr:row>
      <xdr:rowOff>39053</xdr:rowOff>
    </xdr:from>
    <xdr:ext cx="188595" cy="188595"/>
    <xdr:pic>
      <xdr:nvPicPr>
        <xdr:cNvPr id="22" name="Graphic 21" descr="Web design with solid fill">
          <a:extLst>
            <a:ext uri="{FF2B5EF4-FFF2-40B4-BE49-F238E27FC236}">
              <a16:creationId xmlns:a16="http://schemas.microsoft.com/office/drawing/2014/main" id="{118FB457-2118-4650-9044-3584E8521FE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5249228"/>
          <a:ext cx="188595" cy="188595"/>
        </a:xfrm>
        <a:prstGeom prst="rect">
          <a:avLst/>
        </a:prstGeom>
      </xdr:spPr>
    </xdr:pic>
    <xdr:clientData/>
  </xdr:oneCellAnchor>
  <xdr:oneCellAnchor>
    <xdr:from>
      <xdr:col>0</xdr:col>
      <xdr:colOff>172403</xdr:colOff>
      <xdr:row>27</xdr:row>
      <xdr:rowOff>39053</xdr:rowOff>
    </xdr:from>
    <xdr:ext cx="188595" cy="188595"/>
    <xdr:pic>
      <xdr:nvPicPr>
        <xdr:cNvPr id="23" name="Graphic 22" descr="Web design with solid fill">
          <a:extLst>
            <a:ext uri="{FF2B5EF4-FFF2-40B4-BE49-F238E27FC236}">
              <a16:creationId xmlns:a16="http://schemas.microsoft.com/office/drawing/2014/main" id="{660DB93A-30F4-4874-AEA7-EF043815BAD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792028"/>
          <a:ext cx="188595" cy="188595"/>
        </a:xfrm>
        <a:prstGeom prst="rect">
          <a:avLst/>
        </a:prstGeom>
      </xdr:spPr>
    </xdr:pic>
    <xdr:clientData/>
  </xdr:oneCellAnchor>
  <xdr:oneCellAnchor>
    <xdr:from>
      <xdr:col>0</xdr:col>
      <xdr:colOff>172403</xdr:colOff>
      <xdr:row>22</xdr:row>
      <xdr:rowOff>39053</xdr:rowOff>
    </xdr:from>
    <xdr:ext cx="188595" cy="188595"/>
    <xdr:pic>
      <xdr:nvPicPr>
        <xdr:cNvPr id="24" name="Graphic 23" descr="Web design with solid fill">
          <a:extLst>
            <a:ext uri="{FF2B5EF4-FFF2-40B4-BE49-F238E27FC236}">
              <a16:creationId xmlns:a16="http://schemas.microsoft.com/office/drawing/2014/main" id="{9ED73F41-7320-43C4-B428-8AFC2E9A498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3877628"/>
          <a:ext cx="188595" cy="188595"/>
        </a:xfrm>
        <a:prstGeom prst="rect">
          <a:avLst/>
        </a:prstGeom>
      </xdr:spPr>
    </xdr:pic>
    <xdr:clientData/>
  </xdr:oneCellAnchor>
  <xdr:twoCellAnchor editAs="absolute">
    <xdr:from>
      <xdr:col>0</xdr:col>
      <xdr:colOff>0</xdr:colOff>
      <xdr:row>11</xdr:row>
      <xdr:rowOff>190499</xdr:rowOff>
    </xdr:from>
    <xdr:to>
      <xdr:col>11</xdr:col>
      <xdr:colOff>380998</xdr:colOff>
      <xdr:row>56</xdr:row>
      <xdr:rowOff>228599</xdr:rowOff>
    </xdr:to>
    <xdr:sp macro="" textlink="">
      <xdr:nvSpPr>
        <xdr:cNvPr id="25" name="Moon 8">
          <a:extLst>
            <a:ext uri="{FF2B5EF4-FFF2-40B4-BE49-F238E27FC236}">
              <a16:creationId xmlns:a16="http://schemas.microsoft.com/office/drawing/2014/main" id="{A845723E-A30A-43D5-9BE0-C899D62B6431}"/>
            </a:ext>
          </a:extLst>
        </xdr:cNvPr>
        <xdr:cNvSpPr/>
      </xdr:nvSpPr>
      <xdr:spPr>
        <a:xfrm rot="10800000">
          <a:off x="0" y="2162174"/>
          <a:ext cx="6857998" cy="8772525"/>
        </a:xfrm>
        <a:custGeom>
          <a:avLst/>
          <a:gdLst>
            <a:gd name="connsiteX0" fmla="*/ 942975 w 942975"/>
            <a:gd name="connsiteY0" fmla="*/ 1200150 h 1200150"/>
            <a:gd name="connsiteX1" fmla="*/ 0 w 942975"/>
            <a:gd name="connsiteY1" fmla="*/ 600075 h 1200150"/>
            <a:gd name="connsiteX2" fmla="*/ 942975 w 942975"/>
            <a:gd name="connsiteY2" fmla="*/ 0 h 1200150"/>
            <a:gd name="connsiteX3" fmla="*/ 942975 w 942975"/>
            <a:gd name="connsiteY3" fmla="*/ 1200150 h 1200150"/>
            <a:gd name="connsiteX0" fmla="*/ 914400 w 914400"/>
            <a:gd name="connsiteY0" fmla="*/ 1238742 h 1238742"/>
            <a:gd name="connsiteX1" fmla="*/ 0 w 914400"/>
            <a:gd name="connsiteY1" fmla="*/ 210042 h 1238742"/>
            <a:gd name="connsiteX2" fmla="*/ 914400 w 914400"/>
            <a:gd name="connsiteY2" fmla="*/ 38592 h 1238742"/>
            <a:gd name="connsiteX3" fmla="*/ 914400 w 914400"/>
            <a:gd name="connsiteY3" fmla="*/ 1238742 h 1238742"/>
            <a:gd name="connsiteX0" fmla="*/ 914400 w 914400"/>
            <a:gd name="connsiteY0" fmla="*/ 1200150 h 1200150"/>
            <a:gd name="connsiteX1" fmla="*/ 0 w 914400"/>
            <a:gd name="connsiteY1" fmla="*/ 171450 h 1200150"/>
            <a:gd name="connsiteX2" fmla="*/ 914400 w 914400"/>
            <a:gd name="connsiteY2" fmla="*/ 0 h 1200150"/>
            <a:gd name="connsiteX3" fmla="*/ 914400 w 914400"/>
            <a:gd name="connsiteY3" fmla="*/ 1200150 h 1200150"/>
            <a:gd name="connsiteX0" fmla="*/ 933450 w 933450"/>
            <a:gd name="connsiteY0" fmla="*/ 1253284 h 1253284"/>
            <a:gd name="connsiteX1" fmla="*/ 0 w 933450"/>
            <a:gd name="connsiteY1" fmla="*/ 72184 h 1253284"/>
            <a:gd name="connsiteX2" fmla="*/ 933450 w 933450"/>
            <a:gd name="connsiteY2" fmla="*/ 53134 h 1253284"/>
            <a:gd name="connsiteX3" fmla="*/ 933450 w 933450"/>
            <a:gd name="connsiteY3" fmla="*/ 1253284 h 1253284"/>
            <a:gd name="connsiteX0" fmla="*/ 933450 w 933450"/>
            <a:gd name="connsiteY0" fmla="*/ 1201143 h 1201143"/>
            <a:gd name="connsiteX1" fmla="*/ 0 w 933450"/>
            <a:gd name="connsiteY1" fmla="*/ 20043 h 1201143"/>
            <a:gd name="connsiteX2" fmla="*/ 933450 w 933450"/>
            <a:gd name="connsiteY2" fmla="*/ 993 h 1201143"/>
            <a:gd name="connsiteX3" fmla="*/ 933450 w 933450"/>
            <a:gd name="connsiteY3" fmla="*/ 1201143 h 1201143"/>
            <a:gd name="connsiteX0" fmla="*/ 262139 w 1090814"/>
            <a:gd name="connsiteY0" fmla="*/ 1258293 h 1258293"/>
            <a:gd name="connsiteX1" fmla="*/ 157364 w 1090814"/>
            <a:gd name="connsiteY1" fmla="*/ 20043 h 1258293"/>
            <a:gd name="connsiteX2" fmla="*/ 1090814 w 1090814"/>
            <a:gd name="connsiteY2" fmla="*/ 993 h 1258293"/>
            <a:gd name="connsiteX3" fmla="*/ 262139 w 1090814"/>
            <a:gd name="connsiteY3" fmla="*/ 1258293 h 1258293"/>
            <a:gd name="connsiteX0" fmla="*/ 262139 w 1090818"/>
            <a:gd name="connsiteY0" fmla="*/ 1258293 h 1272507"/>
            <a:gd name="connsiteX1" fmla="*/ 157364 w 1090818"/>
            <a:gd name="connsiteY1" fmla="*/ 20043 h 1272507"/>
            <a:gd name="connsiteX2" fmla="*/ 1090814 w 1090818"/>
            <a:gd name="connsiteY2" fmla="*/ 993 h 1272507"/>
            <a:gd name="connsiteX3" fmla="*/ 538363 w 1090818"/>
            <a:gd name="connsiteY3" fmla="*/ 505818 h 1272507"/>
            <a:gd name="connsiteX4" fmla="*/ 262139 w 1090818"/>
            <a:gd name="connsiteY4"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04775 w 933454"/>
            <a:gd name="connsiteY0" fmla="*/ 1258293 h 1272507"/>
            <a:gd name="connsiteX1" fmla="*/ 114299 w 933454"/>
            <a:gd name="connsiteY1" fmla="*/ 705843 h 1272507"/>
            <a:gd name="connsiteX2" fmla="*/ 0 w 933454"/>
            <a:gd name="connsiteY2" fmla="*/ 20043 h 1272507"/>
            <a:gd name="connsiteX3" fmla="*/ 933450 w 933454"/>
            <a:gd name="connsiteY3" fmla="*/ 993 h 1272507"/>
            <a:gd name="connsiteX4" fmla="*/ 380999 w 933454"/>
            <a:gd name="connsiteY4" fmla="*/ 505818 h 1272507"/>
            <a:gd name="connsiteX5" fmla="*/ 104775 w 933454"/>
            <a:gd name="connsiteY5" fmla="*/ 1258293 h 1272507"/>
            <a:gd name="connsiteX0" fmla="*/ 155750 w 984429"/>
            <a:gd name="connsiteY0" fmla="*/ 1258293 h 1272507"/>
            <a:gd name="connsiteX1" fmla="*/ 50975 w 984429"/>
            <a:gd name="connsiteY1" fmla="*/ 20043 h 1272507"/>
            <a:gd name="connsiteX2" fmla="*/ 984425 w 984429"/>
            <a:gd name="connsiteY2" fmla="*/ 993 h 1272507"/>
            <a:gd name="connsiteX3" fmla="*/ 431974 w 984429"/>
            <a:gd name="connsiteY3" fmla="*/ 505818 h 1272507"/>
            <a:gd name="connsiteX4" fmla="*/ 155750 w 984429"/>
            <a:gd name="connsiteY4" fmla="*/ 1258293 h 1272507"/>
            <a:gd name="connsiteX0" fmla="*/ 104775 w 933454"/>
            <a:gd name="connsiteY0" fmla="*/ 1258293 h 1272507"/>
            <a:gd name="connsiteX1" fmla="*/ 0 w 933454"/>
            <a:gd name="connsiteY1" fmla="*/ 20043 h 1272507"/>
            <a:gd name="connsiteX2" fmla="*/ 933450 w 933454"/>
            <a:gd name="connsiteY2" fmla="*/ 993 h 1272507"/>
            <a:gd name="connsiteX3" fmla="*/ 380999 w 933454"/>
            <a:gd name="connsiteY3" fmla="*/ 505818 h 1272507"/>
            <a:gd name="connsiteX4" fmla="*/ 104775 w 933454"/>
            <a:gd name="connsiteY4" fmla="*/ 1258293 h 1272507"/>
            <a:gd name="connsiteX0" fmla="*/ 104775 w 933454"/>
            <a:gd name="connsiteY0" fmla="*/ 1257300 h 1271514"/>
            <a:gd name="connsiteX1" fmla="*/ 0 w 933454"/>
            <a:gd name="connsiteY1" fmla="*/ 19050 h 1271514"/>
            <a:gd name="connsiteX2" fmla="*/ 933450 w 933454"/>
            <a:gd name="connsiteY2" fmla="*/ 0 h 1271514"/>
            <a:gd name="connsiteX3" fmla="*/ 380999 w 933454"/>
            <a:gd name="connsiteY3" fmla="*/ 504825 h 1271514"/>
            <a:gd name="connsiteX4" fmla="*/ 104775 w 933454"/>
            <a:gd name="connsiteY4" fmla="*/ 1257300 h 1271514"/>
            <a:gd name="connsiteX0" fmla="*/ 106468 w 935147"/>
            <a:gd name="connsiteY0" fmla="*/ 1257301 h 1271515"/>
            <a:gd name="connsiteX1" fmla="*/ 0 w 935147"/>
            <a:gd name="connsiteY1" fmla="*/ 0 h 1271515"/>
            <a:gd name="connsiteX2" fmla="*/ 935143 w 935147"/>
            <a:gd name="connsiteY2" fmla="*/ 1 h 1271515"/>
            <a:gd name="connsiteX3" fmla="*/ 382692 w 935147"/>
            <a:gd name="connsiteY3" fmla="*/ 504826 h 1271515"/>
            <a:gd name="connsiteX4" fmla="*/ 106468 w 935147"/>
            <a:gd name="connsiteY4" fmla="*/ 1257301 h 1271515"/>
            <a:gd name="connsiteX0" fmla="*/ 0 w 935147"/>
            <a:gd name="connsiteY0" fmla="*/ 3310736 h 3314537"/>
            <a:gd name="connsiteX1" fmla="*/ 0 w 935147"/>
            <a:gd name="connsiteY1" fmla="*/ 0 h 3314537"/>
            <a:gd name="connsiteX2" fmla="*/ 935143 w 935147"/>
            <a:gd name="connsiteY2" fmla="*/ 1 h 3314537"/>
            <a:gd name="connsiteX3" fmla="*/ 382692 w 935147"/>
            <a:gd name="connsiteY3" fmla="*/ 504826 h 3314537"/>
            <a:gd name="connsiteX4" fmla="*/ 0 w 935147"/>
            <a:gd name="connsiteY4" fmla="*/ 3310736 h 3314537"/>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42874"/>
            <a:gd name="connsiteY0" fmla="*/ 3310736 h 3365354"/>
            <a:gd name="connsiteX1" fmla="*/ 0 w 942874"/>
            <a:gd name="connsiteY1" fmla="*/ 0 h 3365354"/>
            <a:gd name="connsiteX2" fmla="*/ 935143 w 942874"/>
            <a:gd name="connsiteY2" fmla="*/ 1 h 3365354"/>
            <a:gd name="connsiteX3" fmla="*/ 335433 w 942874"/>
            <a:gd name="connsiteY3" fmla="*/ 1679359 h 3365354"/>
            <a:gd name="connsiteX4" fmla="*/ 0 w 942874"/>
            <a:gd name="connsiteY4" fmla="*/ 3310736 h 3365354"/>
            <a:gd name="connsiteX0" fmla="*/ 0 w 939483"/>
            <a:gd name="connsiteY0" fmla="*/ 3310736 h 3365354"/>
            <a:gd name="connsiteX1" fmla="*/ 0 w 939483"/>
            <a:gd name="connsiteY1" fmla="*/ 0 h 3365354"/>
            <a:gd name="connsiteX2" fmla="*/ 935143 w 939483"/>
            <a:gd name="connsiteY2" fmla="*/ 1 h 3365354"/>
            <a:gd name="connsiteX3" fmla="*/ 335433 w 939483"/>
            <a:gd name="connsiteY3" fmla="*/ 1679359 h 3365354"/>
            <a:gd name="connsiteX4" fmla="*/ 0 w 939483"/>
            <a:gd name="connsiteY4" fmla="*/ 3310736 h 3365354"/>
            <a:gd name="connsiteX0" fmla="*/ 0 w 939483"/>
            <a:gd name="connsiteY0" fmla="*/ 3310736 h 3310736"/>
            <a:gd name="connsiteX1" fmla="*/ 0 w 939483"/>
            <a:gd name="connsiteY1" fmla="*/ 0 h 3310736"/>
            <a:gd name="connsiteX2" fmla="*/ 935143 w 939483"/>
            <a:gd name="connsiteY2" fmla="*/ 1 h 3310736"/>
            <a:gd name="connsiteX3" fmla="*/ 335433 w 939483"/>
            <a:gd name="connsiteY3" fmla="*/ 1679359 h 3310736"/>
            <a:gd name="connsiteX4" fmla="*/ 0 w 93948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335433 w 935143"/>
            <a:gd name="connsiteY3" fmla="*/ 1679359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9206"/>
            <a:gd name="connsiteY0" fmla="*/ 3310736 h 3310736"/>
            <a:gd name="connsiteX1" fmla="*/ 0 w 939206"/>
            <a:gd name="connsiteY1" fmla="*/ 0 h 3310736"/>
            <a:gd name="connsiteX2" fmla="*/ 935143 w 939206"/>
            <a:gd name="connsiteY2" fmla="*/ 1 h 3310736"/>
            <a:gd name="connsiteX3" fmla="*/ 291387 w 939206"/>
            <a:gd name="connsiteY3" fmla="*/ 1463441 h 3310736"/>
            <a:gd name="connsiteX4" fmla="*/ 0 w 939206"/>
            <a:gd name="connsiteY4" fmla="*/ 3310736 h 3310736"/>
            <a:gd name="connsiteX0" fmla="*/ 0 w 940716"/>
            <a:gd name="connsiteY0" fmla="*/ 3310736 h 3310736"/>
            <a:gd name="connsiteX1" fmla="*/ 0 w 940716"/>
            <a:gd name="connsiteY1" fmla="*/ 0 h 3310736"/>
            <a:gd name="connsiteX2" fmla="*/ 935143 w 940716"/>
            <a:gd name="connsiteY2" fmla="*/ 1 h 3310736"/>
            <a:gd name="connsiteX3" fmla="*/ 291387 w 940716"/>
            <a:gd name="connsiteY3" fmla="*/ 1463441 h 3310736"/>
            <a:gd name="connsiteX4" fmla="*/ 0 w 940716"/>
            <a:gd name="connsiteY4" fmla="*/ 3310736 h 3310736"/>
            <a:gd name="connsiteX0" fmla="*/ 0 w 941081"/>
            <a:gd name="connsiteY0" fmla="*/ 3310736 h 3310736"/>
            <a:gd name="connsiteX1" fmla="*/ 0 w 941081"/>
            <a:gd name="connsiteY1" fmla="*/ 0 h 3310736"/>
            <a:gd name="connsiteX2" fmla="*/ 935143 w 941081"/>
            <a:gd name="connsiteY2" fmla="*/ 1 h 3310736"/>
            <a:gd name="connsiteX3" fmla="*/ 311716 w 941081"/>
            <a:gd name="connsiteY3" fmla="*/ 1239527 h 3310736"/>
            <a:gd name="connsiteX4" fmla="*/ 0 w 941081"/>
            <a:gd name="connsiteY4" fmla="*/ 3310736 h 3310736"/>
            <a:gd name="connsiteX0" fmla="*/ 0 w 940811"/>
            <a:gd name="connsiteY0" fmla="*/ 3310736 h 3310736"/>
            <a:gd name="connsiteX1" fmla="*/ 0 w 940811"/>
            <a:gd name="connsiteY1" fmla="*/ 0 h 3310736"/>
            <a:gd name="connsiteX2" fmla="*/ 935143 w 940811"/>
            <a:gd name="connsiteY2" fmla="*/ 1 h 3310736"/>
            <a:gd name="connsiteX3" fmla="*/ 311716 w 940811"/>
            <a:gd name="connsiteY3" fmla="*/ 1239527 h 3310736"/>
            <a:gd name="connsiteX4" fmla="*/ 0 w 940811"/>
            <a:gd name="connsiteY4" fmla="*/ 3310736 h 3310736"/>
            <a:gd name="connsiteX0" fmla="*/ 0 w 939594"/>
            <a:gd name="connsiteY0" fmla="*/ 3310736 h 3310736"/>
            <a:gd name="connsiteX1" fmla="*/ 0 w 939594"/>
            <a:gd name="connsiteY1" fmla="*/ 0 h 3310736"/>
            <a:gd name="connsiteX2" fmla="*/ 935143 w 939594"/>
            <a:gd name="connsiteY2" fmla="*/ 1 h 3310736"/>
            <a:gd name="connsiteX3" fmla="*/ 311716 w 939594"/>
            <a:gd name="connsiteY3" fmla="*/ 1239527 h 3310736"/>
            <a:gd name="connsiteX4" fmla="*/ 0 w 939594"/>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2184 w 941356"/>
            <a:gd name="connsiteY0" fmla="*/ 3310736 h 3688713"/>
            <a:gd name="connsiteX1" fmla="*/ 2184 w 941356"/>
            <a:gd name="connsiteY1" fmla="*/ 0 h 3688713"/>
            <a:gd name="connsiteX2" fmla="*/ 937327 w 941356"/>
            <a:gd name="connsiteY2" fmla="*/ 1 h 3688713"/>
            <a:gd name="connsiteX3" fmla="*/ 271547 w 941356"/>
            <a:gd name="connsiteY3" fmla="*/ 1327493 h 3688713"/>
            <a:gd name="connsiteX4" fmla="*/ 2184 w 941356"/>
            <a:gd name="connsiteY4" fmla="*/ 3310736 h 3688713"/>
            <a:gd name="connsiteX0" fmla="*/ 2184 w 939902"/>
            <a:gd name="connsiteY0" fmla="*/ 3612860 h 3990837"/>
            <a:gd name="connsiteX1" fmla="*/ 2184 w 939902"/>
            <a:gd name="connsiteY1" fmla="*/ 302124 h 3990837"/>
            <a:gd name="connsiteX2" fmla="*/ 937327 w 939902"/>
            <a:gd name="connsiteY2" fmla="*/ 302125 h 3990837"/>
            <a:gd name="connsiteX3" fmla="*/ 271547 w 939902"/>
            <a:gd name="connsiteY3" fmla="*/ 1629617 h 3990837"/>
            <a:gd name="connsiteX4" fmla="*/ 2184 w 939902"/>
            <a:gd name="connsiteY4" fmla="*/ 3612860 h 3990837"/>
            <a:gd name="connsiteX0" fmla="*/ 2184 w 939902"/>
            <a:gd name="connsiteY0" fmla="*/ 3310736 h 3688713"/>
            <a:gd name="connsiteX1" fmla="*/ 2184 w 939902"/>
            <a:gd name="connsiteY1" fmla="*/ 0 h 3688713"/>
            <a:gd name="connsiteX2" fmla="*/ 937327 w 939902"/>
            <a:gd name="connsiteY2" fmla="*/ 1 h 3688713"/>
            <a:gd name="connsiteX3" fmla="*/ 271547 w 939902"/>
            <a:gd name="connsiteY3" fmla="*/ 1327493 h 3688713"/>
            <a:gd name="connsiteX4" fmla="*/ 2184 w 939902"/>
            <a:gd name="connsiteY4" fmla="*/ 3310736 h 3688713"/>
            <a:gd name="connsiteX0" fmla="*/ 2184 w 941752"/>
            <a:gd name="connsiteY0" fmla="*/ 3310741 h 3688718"/>
            <a:gd name="connsiteX1" fmla="*/ 2184 w 941752"/>
            <a:gd name="connsiteY1" fmla="*/ 5 h 3688718"/>
            <a:gd name="connsiteX2" fmla="*/ 937327 w 941752"/>
            <a:gd name="connsiteY2" fmla="*/ 6 h 3688718"/>
            <a:gd name="connsiteX3" fmla="*/ 271547 w 941752"/>
            <a:gd name="connsiteY3" fmla="*/ 1327498 h 3688718"/>
            <a:gd name="connsiteX4" fmla="*/ 2184 w 941752"/>
            <a:gd name="connsiteY4" fmla="*/ 3310741 h 3688718"/>
            <a:gd name="connsiteX0" fmla="*/ 2869 w 942437"/>
            <a:gd name="connsiteY0" fmla="*/ 3310741 h 3332727"/>
            <a:gd name="connsiteX1" fmla="*/ 2869 w 942437"/>
            <a:gd name="connsiteY1" fmla="*/ 5 h 3332727"/>
            <a:gd name="connsiteX2" fmla="*/ 938012 w 942437"/>
            <a:gd name="connsiteY2" fmla="*/ 6 h 3332727"/>
            <a:gd name="connsiteX3" fmla="*/ 272232 w 942437"/>
            <a:gd name="connsiteY3" fmla="*/ 1327498 h 3332727"/>
            <a:gd name="connsiteX4" fmla="*/ 2869 w 942437"/>
            <a:gd name="connsiteY4" fmla="*/ 3310741 h 3332727"/>
            <a:gd name="connsiteX0" fmla="*/ 24846 w 964329"/>
            <a:gd name="connsiteY0" fmla="*/ 3401367 h 3435362"/>
            <a:gd name="connsiteX1" fmla="*/ 24846 w 964329"/>
            <a:gd name="connsiteY1" fmla="*/ 90631 h 3435362"/>
            <a:gd name="connsiteX2" fmla="*/ 959989 w 964329"/>
            <a:gd name="connsiteY2" fmla="*/ 90632 h 3435362"/>
            <a:gd name="connsiteX3" fmla="*/ 360279 w 964329"/>
            <a:gd name="connsiteY3" fmla="*/ 1314164 h 3435362"/>
            <a:gd name="connsiteX4" fmla="*/ 24846 w 964329"/>
            <a:gd name="connsiteY4" fmla="*/ 3401367 h 3435362"/>
            <a:gd name="connsiteX0" fmla="*/ 0 w 939483"/>
            <a:gd name="connsiteY0" fmla="*/ 3401367 h 3435362"/>
            <a:gd name="connsiteX1" fmla="*/ 0 w 939483"/>
            <a:gd name="connsiteY1" fmla="*/ 90631 h 3435362"/>
            <a:gd name="connsiteX2" fmla="*/ 935143 w 939483"/>
            <a:gd name="connsiteY2" fmla="*/ 90632 h 3435362"/>
            <a:gd name="connsiteX3" fmla="*/ 335433 w 939483"/>
            <a:gd name="connsiteY3" fmla="*/ 1314164 h 3435362"/>
            <a:gd name="connsiteX4" fmla="*/ 0 w 939483"/>
            <a:gd name="connsiteY4" fmla="*/ 3401367 h 3435362"/>
            <a:gd name="connsiteX0" fmla="*/ 78 w 939561"/>
            <a:gd name="connsiteY0" fmla="*/ 3401367 h 3455659"/>
            <a:gd name="connsiteX1" fmla="*/ 78 w 939561"/>
            <a:gd name="connsiteY1" fmla="*/ 90631 h 3455659"/>
            <a:gd name="connsiteX2" fmla="*/ 935221 w 939561"/>
            <a:gd name="connsiteY2" fmla="*/ 90632 h 3455659"/>
            <a:gd name="connsiteX3" fmla="*/ 335511 w 939561"/>
            <a:gd name="connsiteY3" fmla="*/ 1314164 h 3455659"/>
            <a:gd name="connsiteX4" fmla="*/ 78 w 939561"/>
            <a:gd name="connsiteY4" fmla="*/ 3401367 h 3455659"/>
            <a:gd name="connsiteX0" fmla="*/ 78 w 939561"/>
            <a:gd name="connsiteY0" fmla="*/ 3310736 h 3365028"/>
            <a:gd name="connsiteX1" fmla="*/ 78 w 939561"/>
            <a:gd name="connsiteY1" fmla="*/ 0 h 3365028"/>
            <a:gd name="connsiteX2" fmla="*/ 935221 w 939561"/>
            <a:gd name="connsiteY2" fmla="*/ 1 h 3365028"/>
            <a:gd name="connsiteX3" fmla="*/ 335511 w 939561"/>
            <a:gd name="connsiteY3" fmla="*/ 1223533 h 3365028"/>
            <a:gd name="connsiteX4" fmla="*/ 78 w 939561"/>
            <a:gd name="connsiteY4" fmla="*/ 3310736 h 3365028"/>
            <a:gd name="connsiteX0" fmla="*/ 78 w 938432"/>
            <a:gd name="connsiteY0" fmla="*/ 3310752 h 3365044"/>
            <a:gd name="connsiteX1" fmla="*/ 78 w 938432"/>
            <a:gd name="connsiteY1" fmla="*/ 16 h 3365044"/>
            <a:gd name="connsiteX2" fmla="*/ 935221 w 938432"/>
            <a:gd name="connsiteY2" fmla="*/ 17 h 3365044"/>
            <a:gd name="connsiteX3" fmla="*/ 335511 w 938432"/>
            <a:gd name="connsiteY3" fmla="*/ 1223549 h 3365044"/>
            <a:gd name="connsiteX4" fmla="*/ 78 w 938432"/>
            <a:gd name="connsiteY4" fmla="*/ 3310752 h 3365044"/>
            <a:gd name="connsiteX0" fmla="*/ 37 w 938611"/>
            <a:gd name="connsiteY0" fmla="*/ 3310752 h 3367422"/>
            <a:gd name="connsiteX1" fmla="*/ 37 w 938611"/>
            <a:gd name="connsiteY1" fmla="*/ 16 h 3367422"/>
            <a:gd name="connsiteX2" fmla="*/ 935180 w 938611"/>
            <a:gd name="connsiteY2" fmla="*/ 17 h 3367422"/>
            <a:gd name="connsiteX3" fmla="*/ 369352 w 938611"/>
            <a:gd name="connsiteY3" fmla="*/ 1271531 h 3367422"/>
            <a:gd name="connsiteX4" fmla="*/ 37 w 938611"/>
            <a:gd name="connsiteY4" fmla="*/ 3310752 h 3367422"/>
            <a:gd name="connsiteX0" fmla="*/ 13 w 938874"/>
            <a:gd name="connsiteY0" fmla="*/ 3310755 h 3342063"/>
            <a:gd name="connsiteX1" fmla="*/ 13 w 938874"/>
            <a:gd name="connsiteY1" fmla="*/ 19 h 3342063"/>
            <a:gd name="connsiteX2" fmla="*/ 935156 w 938874"/>
            <a:gd name="connsiteY2" fmla="*/ 20 h 3342063"/>
            <a:gd name="connsiteX3" fmla="*/ 369328 w 938874"/>
            <a:gd name="connsiteY3" fmla="*/ 1271534 h 3342063"/>
            <a:gd name="connsiteX4" fmla="*/ 13 w 938874"/>
            <a:gd name="connsiteY4" fmla="*/ 3310755 h 3342063"/>
            <a:gd name="connsiteX0" fmla="*/ 23 w 939744"/>
            <a:gd name="connsiteY0" fmla="*/ 3310816 h 3351420"/>
            <a:gd name="connsiteX1" fmla="*/ 23 w 939744"/>
            <a:gd name="connsiteY1" fmla="*/ 80 h 3351420"/>
            <a:gd name="connsiteX2" fmla="*/ 935166 w 939744"/>
            <a:gd name="connsiteY2" fmla="*/ 81 h 3351420"/>
            <a:gd name="connsiteX3" fmla="*/ 369338 w 939744"/>
            <a:gd name="connsiteY3" fmla="*/ 1271595 h 3351420"/>
            <a:gd name="connsiteX4" fmla="*/ 23 w 939744"/>
            <a:gd name="connsiteY4" fmla="*/ 3310816 h 3351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39744" h="3351420">
              <a:moveTo>
                <a:pt x="23" y="3310816"/>
              </a:moveTo>
              <a:lnTo>
                <a:pt x="23" y="80"/>
              </a:lnTo>
              <a:lnTo>
                <a:pt x="935166" y="81"/>
              </a:lnTo>
              <a:cubicBezTo>
                <a:pt x="982601" y="-3917"/>
                <a:pt x="652252" y="136029"/>
                <a:pt x="369338" y="1271595"/>
              </a:cubicBezTo>
              <a:cubicBezTo>
                <a:pt x="86424" y="2407161"/>
                <a:pt x="-1672" y="3586711"/>
                <a:pt x="23" y="3310816"/>
              </a:cubicBezTo>
              <a:close/>
            </a:path>
          </a:pathLst>
        </a:custGeom>
        <a:solidFill>
          <a:schemeClr val="accent5">
            <a:lumMod val="60000"/>
            <a:lumOff val="40000"/>
            <a:alpha val="2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0</xdr:col>
      <xdr:colOff>172403</xdr:colOff>
      <xdr:row>24</xdr:row>
      <xdr:rowOff>39053</xdr:rowOff>
    </xdr:from>
    <xdr:ext cx="188595" cy="188595"/>
    <xdr:pic>
      <xdr:nvPicPr>
        <xdr:cNvPr id="26" name="Graphic 25" descr="Web design with solid fill">
          <a:extLst>
            <a:ext uri="{FF2B5EF4-FFF2-40B4-BE49-F238E27FC236}">
              <a16:creationId xmlns:a16="http://schemas.microsoft.com/office/drawing/2014/main" id="{8F36F512-0462-45A6-A8A5-17EA753C953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106228"/>
          <a:ext cx="188595" cy="188595"/>
        </a:xfrm>
        <a:prstGeom prst="rect">
          <a:avLst/>
        </a:prstGeom>
      </xdr:spPr>
    </xdr:pic>
    <xdr:clientData/>
  </xdr:oneCellAnchor>
  <xdr:twoCellAnchor>
    <xdr:from>
      <xdr:col>5</xdr:col>
      <xdr:colOff>285750</xdr:colOff>
      <xdr:row>31</xdr:row>
      <xdr:rowOff>57150</xdr:rowOff>
    </xdr:from>
    <xdr:to>
      <xdr:col>5</xdr:col>
      <xdr:colOff>285750</xdr:colOff>
      <xdr:row>39</xdr:row>
      <xdr:rowOff>85725</xdr:rowOff>
    </xdr:to>
    <xdr:cxnSp macro="">
      <xdr:nvCxnSpPr>
        <xdr:cNvPr id="27" name="Straight Connector 26">
          <a:extLst>
            <a:ext uri="{FF2B5EF4-FFF2-40B4-BE49-F238E27FC236}">
              <a16:creationId xmlns:a16="http://schemas.microsoft.com/office/drawing/2014/main" id="{ADDCC49A-E757-44FE-897D-C10DE430689B}"/>
            </a:ext>
          </a:extLst>
        </xdr:cNvPr>
        <xdr:cNvCxnSpPr/>
      </xdr:nvCxnSpPr>
      <xdr:spPr>
        <a:xfrm>
          <a:off x="3105150" y="5848350"/>
          <a:ext cx="0" cy="163830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172403</xdr:colOff>
      <xdr:row>25</xdr:row>
      <xdr:rowOff>39053</xdr:rowOff>
    </xdr:from>
    <xdr:ext cx="188595" cy="188595"/>
    <xdr:pic>
      <xdr:nvPicPr>
        <xdr:cNvPr id="28" name="Graphic 27" descr="Web design with solid fill">
          <a:extLst>
            <a:ext uri="{FF2B5EF4-FFF2-40B4-BE49-F238E27FC236}">
              <a16:creationId xmlns:a16="http://schemas.microsoft.com/office/drawing/2014/main" id="{B01135C6-5DBE-47B2-9052-F6E2EF78991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334828"/>
          <a:ext cx="188595" cy="188595"/>
        </a:xfrm>
        <a:prstGeom prst="rect">
          <a:avLst/>
        </a:prstGeom>
      </xdr:spPr>
    </xdr:pic>
    <xdr:clientData/>
  </xdr:oneCellAnchor>
  <xdr:oneCellAnchor>
    <xdr:from>
      <xdr:col>0</xdr:col>
      <xdr:colOff>172403</xdr:colOff>
      <xdr:row>23</xdr:row>
      <xdr:rowOff>39053</xdr:rowOff>
    </xdr:from>
    <xdr:ext cx="188595" cy="188595"/>
    <xdr:pic>
      <xdr:nvPicPr>
        <xdr:cNvPr id="4" name="Graphic 3" descr="Web design with solid fill">
          <a:extLst>
            <a:ext uri="{FF2B5EF4-FFF2-40B4-BE49-F238E27FC236}">
              <a16:creationId xmlns:a16="http://schemas.microsoft.com/office/drawing/2014/main" id="{6F5A6873-1DC1-46A0-89EA-78C621E385B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3877628"/>
          <a:ext cx="188595" cy="18859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xdr:row>
      <xdr:rowOff>0</xdr:rowOff>
    </xdr:from>
    <xdr:ext cx="1218867" cy="1219200"/>
    <xdr:pic>
      <xdr:nvPicPr>
        <xdr:cNvPr id="2" name="Picture 3">
          <a:extLst>
            <a:ext uri="{FF2B5EF4-FFF2-40B4-BE49-F238E27FC236}">
              <a16:creationId xmlns:a16="http://schemas.microsoft.com/office/drawing/2014/main" id="{DC234CA3-17A5-4F00-9F56-1657EF824B01}"/>
            </a:ext>
          </a:extLst>
        </xdr:cNvPr>
        <xdr:cNvPicPr>
          <a:picLocks noChangeAspect="1" noChangeArrowheads="1"/>
        </xdr:cNvPicPr>
      </xdr:nvPicPr>
      <xdr:blipFill rotWithShape="1">
        <a:blip xmlns:r="http://schemas.openxmlformats.org/officeDocument/2006/relationships" r:embed="rId1" cstate="screen">
          <a:extLst>
            <a:ext uri="{BEBA8EAE-BF5A-486C-A8C5-ECC9F3942E4B}">
              <a14:imgProps xmlns:a14="http://schemas.microsoft.com/office/drawing/2010/main">
                <a14:imgLayer r:embed="rId2">
                  <a14:imgEffect>
                    <a14:backgroundRemoval t="1176" b="100000" l="2985" r="96642">
                      <a14:foregroundMark x1="35448" y1="5882" x2="64179" y2="6667"/>
                      <a14:foregroundMark x1="48881" y1="1176" x2="48881" y2="1176"/>
                      <a14:foregroundMark x1="64179" y1="92549" x2="64179" y2="92549"/>
                      <a14:foregroundMark x1="70149" y1="90980" x2="68284" y2="99608"/>
                      <a14:foregroundMark x1="31716" y1="83137" x2="57463" y2="99608"/>
                      <a14:foregroundMark x1="75000" y1="85490" x2="75000" y2="99608"/>
                      <a14:foregroundMark x1="73507" y1="82745" x2="86940" y2="99608"/>
                      <a14:foregroundMark x1="89925" y1="91765" x2="92164" y2="92941"/>
                      <a14:foregroundMark x1="94030" y1="88627" x2="93657" y2="99608"/>
                      <a14:foregroundMark x1="27239" y1="86275" x2="36567" y2="99608"/>
                      <a14:foregroundMark x1="23134" y1="84706" x2="3731" y2="92941"/>
                      <a14:foregroundMark x1="96642" y1="92941" x2="96642" y2="99608"/>
                    </a14:backgroundRemoval>
                  </a14:imgEffect>
                  <a14:imgEffect>
                    <a14:colorTemperature colorTemp="8800"/>
                  </a14:imgEffect>
                </a14:imgLayer>
              </a14:imgProps>
            </a:ext>
            <a:ext uri="{28A0092B-C50C-407E-A947-70E740481C1C}">
              <a14:useLocalDpi xmlns:a14="http://schemas.microsoft.com/office/drawing/2010/main"/>
            </a:ext>
          </a:extLst>
        </a:blip>
        <a:srcRect/>
        <a:stretch/>
      </xdr:blipFill>
      <xdr:spPr bwMode="auto">
        <a:xfrm>
          <a:off x="381000" y="95250"/>
          <a:ext cx="1218867" cy="1219200"/>
        </a:xfrm>
        <a:prstGeom prst="rect">
          <a:avLst/>
        </a:prstGeom>
        <a:ln>
          <a:noFill/>
        </a:ln>
        <a:effectLst>
          <a:outerShdw blurRad="101600" dir="1560000" sx="99000" sy="99000" algn="tl" rotWithShape="0">
            <a:schemeClr val="accent1">
              <a:lumMod val="75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401025</xdr:colOff>
      <xdr:row>9</xdr:row>
      <xdr:rowOff>10500</xdr:rowOff>
    </xdr:from>
    <xdr:to>
      <xdr:col>4</xdr:col>
      <xdr:colOff>581025</xdr:colOff>
      <xdr:row>10</xdr:row>
      <xdr:rowOff>0</xdr:rowOff>
    </xdr:to>
    <xdr:pic>
      <xdr:nvPicPr>
        <xdr:cNvPr id="3" name="Graphic 2" descr="Receiver with solid fill">
          <a:extLst>
            <a:ext uri="{FF2B5EF4-FFF2-40B4-BE49-F238E27FC236}">
              <a16:creationId xmlns:a16="http://schemas.microsoft.com/office/drawing/2014/main" id="{0B2E2BEE-5A82-4A72-A696-DF2F5CAEAE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610825" y="1601175"/>
          <a:ext cx="180000" cy="180000"/>
        </a:xfrm>
        <a:prstGeom prst="rect">
          <a:avLst/>
        </a:prstGeom>
      </xdr:spPr>
    </xdr:pic>
    <xdr:clientData/>
  </xdr:twoCellAnchor>
  <xdr:twoCellAnchor editAs="oneCell">
    <xdr:from>
      <xdr:col>4</xdr:col>
      <xdr:colOff>410550</xdr:colOff>
      <xdr:row>10</xdr:row>
      <xdr:rowOff>20025</xdr:rowOff>
    </xdr:from>
    <xdr:to>
      <xdr:col>4</xdr:col>
      <xdr:colOff>590550</xdr:colOff>
      <xdr:row>11</xdr:row>
      <xdr:rowOff>9525</xdr:rowOff>
    </xdr:to>
    <xdr:pic>
      <xdr:nvPicPr>
        <xdr:cNvPr id="4" name="Graphic 3" descr="Email with solid fill">
          <a:extLst>
            <a:ext uri="{FF2B5EF4-FFF2-40B4-BE49-F238E27FC236}">
              <a16:creationId xmlns:a16="http://schemas.microsoft.com/office/drawing/2014/main" id="{DF182B39-1F54-4FF7-AD16-EF00799E59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620350" y="1801200"/>
          <a:ext cx="180000" cy="180000"/>
        </a:xfrm>
        <a:prstGeom prst="rect">
          <a:avLst/>
        </a:prstGeom>
      </xdr:spPr>
    </xdr:pic>
    <xdr:clientData/>
  </xdr:twoCellAnchor>
  <xdr:twoCellAnchor editAs="oneCell">
    <xdr:from>
      <xdr:col>0</xdr:col>
      <xdr:colOff>162900</xdr:colOff>
      <xdr:row>9</xdr:row>
      <xdr:rowOff>114300</xdr:rowOff>
    </xdr:from>
    <xdr:to>
      <xdr:col>0</xdr:col>
      <xdr:colOff>342900</xdr:colOff>
      <xdr:row>10</xdr:row>
      <xdr:rowOff>103800</xdr:rowOff>
    </xdr:to>
    <xdr:pic>
      <xdr:nvPicPr>
        <xdr:cNvPr id="5" name="Graphic 4" descr="Home with solid fill">
          <a:extLst>
            <a:ext uri="{FF2B5EF4-FFF2-40B4-BE49-F238E27FC236}">
              <a16:creationId xmlns:a16="http://schemas.microsoft.com/office/drawing/2014/main" id="{0F192494-A2E4-4322-9BDE-E3379AA1303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2900" y="1704975"/>
          <a:ext cx="180000" cy="180000"/>
        </a:xfrm>
        <a:prstGeom prst="rect">
          <a:avLst/>
        </a:prstGeom>
      </xdr:spPr>
    </xdr:pic>
    <xdr:clientData/>
  </xdr:twoCellAnchor>
  <xdr:twoCellAnchor editAs="oneCell">
    <xdr:from>
      <xdr:col>8</xdr:col>
      <xdr:colOff>401025</xdr:colOff>
      <xdr:row>9</xdr:row>
      <xdr:rowOff>104775</xdr:rowOff>
    </xdr:from>
    <xdr:to>
      <xdr:col>8</xdr:col>
      <xdr:colOff>581025</xdr:colOff>
      <xdr:row>10</xdr:row>
      <xdr:rowOff>94275</xdr:rowOff>
    </xdr:to>
    <xdr:pic>
      <xdr:nvPicPr>
        <xdr:cNvPr id="6" name="Graphic 5" descr="Speech with solid fill">
          <a:extLst>
            <a:ext uri="{FF2B5EF4-FFF2-40B4-BE49-F238E27FC236}">
              <a16:creationId xmlns:a16="http://schemas.microsoft.com/office/drawing/2014/main" id="{16B0EFC1-D104-4F04-8A11-D60C3141C6D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049225" y="1695450"/>
          <a:ext cx="180000" cy="180000"/>
        </a:xfrm>
        <a:prstGeom prst="rect">
          <a:avLst/>
        </a:prstGeom>
      </xdr:spPr>
    </xdr:pic>
    <xdr:clientData/>
  </xdr:twoCellAnchor>
  <xdr:twoCellAnchor editAs="oneCell">
    <xdr:from>
      <xdr:col>5</xdr:col>
      <xdr:colOff>410700</xdr:colOff>
      <xdr:row>33</xdr:row>
      <xdr:rowOff>29700</xdr:rowOff>
    </xdr:from>
    <xdr:to>
      <xdr:col>6</xdr:col>
      <xdr:colOff>18900</xdr:colOff>
      <xdr:row>34</xdr:row>
      <xdr:rowOff>18900</xdr:rowOff>
    </xdr:to>
    <xdr:pic>
      <xdr:nvPicPr>
        <xdr:cNvPr id="7" name="Graphic 6" descr="Graduation cap with solid fill">
          <a:extLst>
            <a:ext uri="{FF2B5EF4-FFF2-40B4-BE49-F238E27FC236}">
              <a16:creationId xmlns:a16="http://schemas.microsoft.com/office/drawing/2014/main" id="{ED34550E-6AA1-450C-964A-916A1A47A60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230100" y="6173325"/>
          <a:ext cx="217800" cy="217800"/>
        </a:xfrm>
        <a:prstGeom prst="rect">
          <a:avLst/>
        </a:prstGeom>
      </xdr:spPr>
    </xdr:pic>
    <xdr:clientData/>
  </xdr:twoCellAnchor>
  <xdr:twoCellAnchor editAs="oneCell">
    <xdr:from>
      <xdr:col>5</xdr:col>
      <xdr:colOff>429600</xdr:colOff>
      <xdr:row>37</xdr:row>
      <xdr:rowOff>48600</xdr:rowOff>
    </xdr:from>
    <xdr:to>
      <xdr:col>6</xdr:col>
      <xdr:colOff>0</xdr:colOff>
      <xdr:row>38</xdr:row>
      <xdr:rowOff>0</xdr:rowOff>
    </xdr:to>
    <xdr:pic>
      <xdr:nvPicPr>
        <xdr:cNvPr id="8" name="Graphic 7" descr="Books with solid fill">
          <a:extLst>
            <a:ext uri="{FF2B5EF4-FFF2-40B4-BE49-F238E27FC236}">
              <a16:creationId xmlns:a16="http://schemas.microsoft.com/office/drawing/2014/main" id="{515F0900-C269-436A-B4A1-49E41445117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249000" y="7030425"/>
          <a:ext cx="180000" cy="180000"/>
        </a:xfrm>
        <a:prstGeom prst="rect">
          <a:avLst/>
        </a:prstGeom>
      </xdr:spPr>
    </xdr:pic>
    <xdr:clientData/>
  </xdr:twoCellAnchor>
  <xdr:twoCellAnchor editAs="oneCell">
    <xdr:from>
      <xdr:col>0</xdr:col>
      <xdr:colOff>172403</xdr:colOff>
      <xdr:row>33</xdr:row>
      <xdr:rowOff>48578</xdr:rowOff>
    </xdr:from>
    <xdr:to>
      <xdr:col>0</xdr:col>
      <xdr:colOff>360998</xdr:colOff>
      <xdr:row>34</xdr:row>
      <xdr:rowOff>8573</xdr:rowOff>
    </xdr:to>
    <xdr:pic>
      <xdr:nvPicPr>
        <xdr:cNvPr id="9" name="Graphic 8" descr="Web design with solid fill">
          <a:extLst>
            <a:ext uri="{FF2B5EF4-FFF2-40B4-BE49-F238E27FC236}">
              <a16:creationId xmlns:a16="http://schemas.microsoft.com/office/drawing/2014/main" id="{2992ADE3-2764-417A-AC90-9E36276625D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6192203"/>
          <a:ext cx="188595" cy="188595"/>
        </a:xfrm>
        <a:prstGeom prst="rect">
          <a:avLst/>
        </a:prstGeom>
      </xdr:spPr>
    </xdr:pic>
    <xdr:clientData/>
  </xdr:twoCellAnchor>
  <xdr:oneCellAnchor>
    <xdr:from>
      <xdr:col>5</xdr:col>
      <xdr:colOff>410700</xdr:colOff>
      <xdr:row>35</xdr:row>
      <xdr:rowOff>29700</xdr:rowOff>
    </xdr:from>
    <xdr:ext cx="217800" cy="217800"/>
    <xdr:pic>
      <xdr:nvPicPr>
        <xdr:cNvPr id="10" name="Graphic 9" descr="Graduation cap with solid fill">
          <a:extLst>
            <a:ext uri="{FF2B5EF4-FFF2-40B4-BE49-F238E27FC236}">
              <a16:creationId xmlns:a16="http://schemas.microsoft.com/office/drawing/2014/main" id="{C950D686-5E3B-40A0-BB09-C131EB03B69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230100" y="6592425"/>
          <a:ext cx="217800" cy="217800"/>
        </a:xfrm>
        <a:prstGeom prst="rect">
          <a:avLst/>
        </a:prstGeom>
      </xdr:spPr>
    </xdr:pic>
    <xdr:clientData/>
  </xdr:oneCellAnchor>
  <xdr:oneCellAnchor>
    <xdr:from>
      <xdr:col>0</xdr:col>
      <xdr:colOff>172403</xdr:colOff>
      <xdr:row>28</xdr:row>
      <xdr:rowOff>39053</xdr:rowOff>
    </xdr:from>
    <xdr:ext cx="188595" cy="188595"/>
    <xdr:pic>
      <xdr:nvPicPr>
        <xdr:cNvPr id="11" name="Graphic 10" descr="Web design with solid fill">
          <a:extLst>
            <a:ext uri="{FF2B5EF4-FFF2-40B4-BE49-F238E27FC236}">
              <a16:creationId xmlns:a16="http://schemas.microsoft.com/office/drawing/2014/main" id="{0338E77B-F856-4C36-92B0-F8FDE51191C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5249228"/>
          <a:ext cx="188595" cy="188595"/>
        </a:xfrm>
        <a:prstGeom prst="rect">
          <a:avLst/>
        </a:prstGeom>
      </xdr:spPr>
    </xdr:pic>
    <xdr:clientData/>
  </xdr:oneCellAnchor>
  <xdr:oneCellAnchor>
    <xdr:from>
      <xdr:col>0</xdr:col>
      <xdr:colOff>172403</xdr:colOff>
      <xdr:row>35</xdr:row>
      <xdr:rowOff>48578</xdr:rowOff>
    </xdr:from>
    <xdr:ext cx="188595" cy="188595"/>
    <xdr:pic>
      <xdr:nvPicPr>
        <xdr:cNvPr id="12" name="Graphic 11" descr="Web design with solid fill">
          <a:extLst>
            <a:ext uri="{FF2B5EF4-FFF2-40B4-BE49-F238E27FC236}">
              <a16:creationId xmlns:a16="http://schemas.microsoft.com/office/drawing/2014/main" id="{CDD651CB-C643-429C-9B62-C1B6A4E85E6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6611303"/>
          <a:ext cx="188595" cy="188595"/>
        </a:xfrm>
        <a:prstGeom prst="rect">
          <a:avLst/>
        </a:prstGeom>
      </xdr:spPr>
    </xdr:pic>
    <xdr:clientData/>
  </xdr:oneCellAnchor>
  <xdr:oneCellAnchor>
    <xdr:from>
      <xdr:col>0</xdr:col>
      <xdr:colOff>172403</xdr:colOff>
      <xdr:row>37</xdr:row>
      <xdr:rowOff>48578</xdr:rowOff>
    </xdr:from>
    <xdr:ext cx="188595" cy="188595"/>
    <xdr:pic>
      <xdr:nvPicPr>
        <xdr:cNvPr id="13" name="Graphic 12" descr="Web design with solid fill">
          <a:extLst>
            <a:ext uri="{FF2B5EF4-FFF2-40B4-BE49-F238E27FC236}">
              <a16:creationId xmlns:a16="http://schemas.microsoft.com/office/drawing/2014/main" id="{A6031CB3-2D59-4DC2-AAF6-49AAB9B7C6E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7030403"/>
          <a:ext cx="188595" cy="188595"/>
        </a:xfrm>
        <a:prstGeom prst="rect">
          <a:avLst/>
        </a:prstGeom>
      </xdr:spPr>
    </xdr:pic>
    <xdr:clientData/>
  </xdr:oneCellAnchor>
  <xdr:twoCellAnchor editAs="oneCell">
    <xdr:from>
      <xdr:col>0</xdr:col>
      <xdr:colOff>172425</xdr:colOff>
      <xdr:row>47</xdr:row>
      <xdr:rowOff>9525</xdr:rowOff>
    </xdr:from>
    <xdr:to>
      <xdr:col>0</xdr:col>
      <xdr:colOff>352425</xdr:colOff>
      <xdr:row>47</xdr:row>
      <xdr:rowOff>189525</xdr:rowOff>
    </xdr:to>
    <xdr:pic>
      <xdr:nvPicPr>
        <xdr:cNvPr id="14" name="Graphic 13" descr="Briefcase with solid fill">
          <a:extLst>
            <a:ext uri="{FF2B5EF4-FFF2-40B4-BE49-F238E27FC236}">
              <a16:creationId xmlns:a16="http://schemas.microsoft.com/office/drawing/2014/main" id="{77FB9F99-F9C9-413E-9CEB-470FB06B725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72425" y="9058275"/>
          <a:ext cx="180000" cy="180000"/>
        </a:xfrm>
        <a:prstGeom prst="rect">
          <a:avLst/>
        </a:prstGeom>
      </xdr:spPr>
    </xdr:pic>
    <xdr:clientData/>
  </xdr:twoCellAnchor>
  <xdr:twoCellAnchor editAs="oneCell">
    <xdr:from>
      <xdr:col>0</xdr:col>
      <xdr:colOff>172425</xdr:colOff>
      <xdr:row>41</xdr:row>
      <xdr:rowOff>20025</xdr:rowOff>
    </xdr:from>
    <xdr:to>
      <xdr:col>0</xdr:col>
      <xdr:colOff>352425</xdr:colOff>
      <xdr:row>42</xdr:row>
      <xdr:rowOff>9525</xdr:rowOff>
    </xdr:to>
    <xdr:pic>
      <xdr:nvPicPr>
        <xdr:cNvPr id="15" name="Graphic 14" descr="Briefcase with solid fill">
          <a:extLst>
            <a:ext uri="{FF2B5EF4-FFF2-40B4-BE49-F238E27FC236}">
              <a16:creationId xmlns:a16="http://schemas.microsoft.com/office/drawing/2014/main" id="{10D587C5-D35C-4C87-BC1A-72A0271D68E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72425" y="7849575"/>
          <a:ext cx="180000" cy="180000"/>
        </a:xfrm>
        <a:prstGeom prst="rect">
          <a:avLst/>
        </a:prstGeom>
      </xdr:spPr>
    </xdr:pic>
    <xdr:clientData/>
  </xdr:twoCellAnchor>
  <xdr:twoCellAnchor editAs="oneCell">
    <xdr:from>
      <xdr:col>0</xdr:col>
      <xdr:colOff>153525</xdr:colOff>
      <xdr:row>17</xdr:row>
      <xdr:rowOff>115425</xdr:rowOff>
    </xdr:from>
    <xdr:to>
      <xdr:col>0</xdr:col>
      <xdr:colOff>371325</xdr:colOff>
      <xdr:row>19</xdr:row>
      <xdr:rowOff>18900</xdr:rowOff>
    </xdr:to>
    <xdr:pic>
      <xdr:nvPicPr>
        <xdr:cNvPr id="16" name="Graphic 15" descr="Office worker male with solid fill">
          <a:extLst>
            <a:ext uri="{FF2B5EF4-FFF2-40B4-BE49-F238E27FC236}">
              <a16:creationId xmlns:a16="http://schemas.microsoft.com/office/drawing/2014/main" id="{38079D94-1DA2-422A-8D29-AA0C5A77C69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53525" y="3163425"/>
          <a:ext cx="217800" cy="217800"/>
        </a:xfrm>
        <a:prstGeom prst="rect">
          <a:avLst/>
        </a:prstGeom>
      </xdr:spPr>
    </xdr:pic>
    <xdr:clientData/>
  </xdr:twoCellAnchor>
  <xdr:twoCellAnchor editAs="oneCell">
    <xdr:from>
      <xdr:col>0</xdr:col>
      <xdr:colOff>104220</xdr:colOff>
      <xdr:row>14</xdr:row>
      <xdr:rowOff>63045</xdr:rowOff>
    </xdr:from>
    <xdr:to>
      <xdr:col>0</xdr:col>
      <xdr:colOff>365580</xdr:colOff>
      <xdr:row>15</xdr:row>
      <xdr:rowOff>133905</xdr:rowOff>
    </xdr:to>
    <xdr:pic>
      <xdr:nvPicPr>
        <xdr:cNvPr id="17" name="Graphic 16" descr="Spinning Plates with solid fill">
          <a:extLst>
            <a:ext uri="{FF2B5EF4-FFF2-40B4-BE49-F238E27FC236}">
              <a16:creationId xmlns:a16="http://schemas.microsoft.com/office/drawing/2014/main" id="{359E26B5-CF6C-4DC0-92B8-163040C90211}"/>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04220" y="2539545"/>
          <a:ext cx="261360" cy="261360"/>
        </a:xfrm>
        <a:prstGeom prst="rect">
          <a:avLst/>
        </a:prstGeom>
      </xdr:spPr>
    </xdr:pic>
    <xdr:clientData/>
  </xdr:twoCellAnchor>
  <xdr:twoCellAnchor editAs="oneCell">
    <xdr:from>
      <xdr:col>2</xdr:col>
      <xdr:colOff>420075</xdr:colOff>
      <xdr:row>42</xdr:row>
      <xdr:rowOff>19050</xdr:rowOff>
    </xdr:from>
    <xdr:to>
      <xdr:col>2</xdr:col>
      <xdr:colOff>600075</xdr:colOff>
      <xdr:row>42</xdr:row>
      <xdr:rowOff>199050</xdr:rowOff>
    </xdr:to>
    <xdr:pic>
      <xdr:nvPicPr>
        <xdr:cNvPr id="18" name="Graphic 17" descr="Factory with solid fill">
          <a:extLst>
            <a:ext uri="{FF2B5EF4-FFF2-40B4-BE49-F238E27FC236}">
              <a16:creationId xmlns:a16="http://schemas.microsoft.com/office/drawing/2014/main" id="{61F98013-6B31-4EC4-95F6-C15EB8894DA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410675" y="8039100"/>
          <a:ext cx="180000" cy="180000"/>
        </a:xfrm>
        <a:prstGeom prst="rect">
          <a:avLst/>
        </a:prstGeom>
      </xdr:spPr>
    </xdr:pic>
    <xdr:clientData/>
  </xdr:twoCellAnchor>
  <xdr:oneCellAnchor>
    <xdr:from>
      <xdr:col>2</xdr:col>
      <xdr:colOff>420075</xdr:colOff>
      <xdr:row>48</xdr:row>
      <xdr:rowOff>19050</xdr:rowOff>
    </xdr:from>
    <xdr:ext cx="180000" cy="180000"/>
    <xdr:pic>
      <xdr:nvPicPr>
        <xdr:cNvPr id="19" name="Graphic 18" descr="Factory with solid fill">
          <a:extLst>
            <a:ext uri="{FF2B5EF4-FFF2-40B4-BE49-F238E27FC236}">
              <a16:creationId xmlns:a16="http://schemas.microsoft.com/office/drawing/2014/main" id="{EC7F256E-6CE6-41C0-B29B-F40CF43EF24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410675" y="9258300"/>
          <a:ext cx="180000" cy="180000"/>
        </a:xfrm>
        <a:prstGeom prst="rect">
          <a:avLst/>
        </a:prstGeom>
      </xdr:spPr>
    </xdr:pic>
    <xdr:clientData/>
  </xdr:oneCellAnchor>
  <xdr:oneCellAnchor>
    <xdr:from>
      <xdr:col>0</xdr:col>
      <xdr:colOff>172403</xdr:colOff>
      <xdr:row>26</xdr:row>
      <xdr:rowOff>39053</xdr:rowOff>
    </xdr:from>
    <xdr:ext cx="188595" cy="188595"/>
    <xdr:pic>
      <xdr:nvPicPr>
        <xdr:cNvPr id="20" name="Graphic 19" descr="Web design with solid fill">
          <a:extLst>
            <a:ext uri="{FF2B5EF4-FFF2-40B4-BE49-F238E27FC236}">
              <a16:creationId xmlns:a16="http://schemas.microsoft.com/office/drawing/2014/main" id="{AF7CF9C8-7585-47E3-8838-7530A8971D1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792028"/>
          <a:ext cx="188595" cy="188595"/>
        </a:xfrm>
        <a:prstGeom prst="rect">
          <a:avLst/>
        </a:prstGeom>
      </xdr:spPr>
    </xdr:pic>
    <xdr:clientData/>
  </xdr:oneCellAnchor>
  <xdr:oneCellAnchor>
    <xdr:from>
      <xdr:col>0</xdr:col>
      <xdr:colOff>172403</xdr:colOff>
      <xdr:row>29</xdr:row>
      <xdr:rowOff>39053</xdr:rowOff>
    </xdr:from>
    <xdr:ext cx="188595" cy="188595"/>
    <xdr:pic>
      <xdr:nvPicPr>
        <xdr:cNvPr id="21" name="Graphic 20" descr="Web design with solid fill">
          <a:extLst>
            <a:ext uri="{FF2B5EF4-FFF2-40B4-BE49-F238E27FC236}">
              <a16:creationId xmlns:a16="http://schemas.microsoft.com/office/drawing/2014/main" id="{C7C71941-4715-4CA4-95BB-EA34E01E831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5477828"/>
          <a:ext cx="188595" cy="188595"/>
        </a:xfrm>
        <a:prstGeom prst="rect">
          <a:avLst/>
        </a:prstGeom>
      </xdr:spPr>
    </xdr:pic>
    <xdr:clientData/>
  </xdr:oneCellAnchor>
  <xdr:oneCellAnchor>
    <xdr:from>
      <xdr:col>0</xdr:col>
      <xdr:colOff>172403</xdr:colOff>
      <xdr:row>27</xdr:row>
      <xdr:rowOff>39053</xdr:rowOff>
    </xdr:from>
    <xdr:ext cx="188595" cy="188595"/>
    <xdr:pic>
      <xdr:nvPicPr>
        <xdr:cNvPr id="22" name="Graphic 21" descr="Web design with solid fill">
          <a:extLst>
            <a:ext uri="{FF2B5EF4-FFF2-40B4-BE49-F238E27FC236}">
              <a16:creationId xmlns:a16="http://schemas.microsoft.com/office/drawing/2014/main" id="{4E47831C-478F-4A1A-BF63-58158D55DAD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5020628"/>
          <a:ext cx="188595" cy="188595"/>
        </a:xfrm>
        <a:prstGeom prst="rect">
          <a:avLst/>
        </a:prstGeom>
      </xdr:spPr>
    </xdr:pic>
    <xdr:clientData/>
  </xdr:oneCellAnchor>
  <xdr:oneCellAnchor>
    <xdr:from>
      <xdr:col>0</xdr:col>
      <xdr:colOff>172403</xdr:colOff>
      <xdr:row>22</xdr:row>
      <xdr:rowOff>39053</xdr:rowOff>
    </xdr:from>
    <xdr:ext cx="188595" cy="188595"/>
    <xdr:pic>
      <xdr:nvPicPr>
        <xdr:cNvPr id="23" name="Graphic 22" descr="Web design with solid fill">
          <a:extLst>
            <a:ext uri="{FF2B5EF4-FFF2-40B4-BE49-F238E27FC236}">
              <a16:creationId xmlns:a16="http://schemas.microsoft.com/office/drawing/2014/main" id="{504BA7B1-C481-48D6-93BB-7C1F252F5B8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3877628"/>
          <a:ext cx="188595" cy="188595"/>
        </a:xfrm>
        <a:prstGeom prst="rect">
          <a:avLst/>
        </a:prstGeom>
      </xdr:spPr>
    </xdr:pic>
    <xdr:clientData/>
  </xdr:oneCellAnchor>
  <xdr:twoCellAnchor editAs="absolute">
    <xdr:from>
      <xdr:col>0</xdr:col>
      <xdr:colOff>0</xdr:colOff>
      <xdr:row>12</xdr:row>
      <xdr:rowOff>0</xdr:rowOff>
    </xdr:from>
    <xdr:to>
      <xdr:col>11</xdr:col>
      <xdr:colOff>380998</xdr:colOff>
      <xdr:row>56</xdr:row>
      <xdr:rowOff>228599</xdr:rowOff>
    </xdr:to>
    <xdr:sp macro="" textlink="">
      <xdr:nvSpPr>
        <xdr:cNvPr id="24" name="Moon 8">
          <a:extLst>
            <a:ext uri="{FF2B5EF4-FFF2-40B4-BE49-F238E27FC236}">
              <a16:creationId xmlns:a16="http://schemas.microsoft.com/office/drawing/2014/main" id="{213DB403-CB80-4941-AA6F-CB7211F0F7C3}"/>
            </a:ext>
          </a:extLst>
        </xdr:cNvPr>
        <xdr:cNvSpPr/>
      </xdr:nvSpPr>
      <xdr:spPr>
        <a:xfrm rot="10800000">
          <a:off x="0" y="2162175"/>
          <a:ext cx="6857998" cy="8991599"/>
        </a:xfrm>
        <a:custGeom>
          <a:avLst/>
          <a:gdLst>
            <a:gd name="connsiteX0" fmla="*/ 942975 w 942975"/>
            <a:gd name="connsiteY0" fmla="*/ 1200150 h 1200150"/>
            <a:gd name="connsiteX1" fmla="*/ 0 w 942975"/>
            <a:gd name="connsiteY1" fmla="*/ 600075 h 1200150"/>
            <a:gd name="connsiteX2" fmla="*/ 942975 w 942975"/>
            <a:gd name="connsiteY2" fmla="*/ 0 h 1200150"/>
            <a:gd name="connsiteX3" fmla="*/ 942975 w 942975"/>
            <a:gd name="connsiteY3" fmla="*/ 1200150 h 1200150"/>
            <a:gd name="connsiteX0" fmla="*/ 914400 w 914400"/>
            <a:gd name="connsiteY0" fmla="*/ 1238742 h 1238742"/>
            <a:gd name="connsiteX1" fmla="*/ 0 w 914400"/>
            <a:gd name="connsiteY1" fmla="*/ 210042 h 1238742"/>
            <a:gd name="connsiteX2" fmla="*/ 914400 w 914400"/>
            <a:gd name="connsiteY2" fmla="*/ 38592 h 1238742"/>
            <a:gd name="connsiteX3" fmla="*/ 914400 w 914400"/>
            <a:gd name="connsiteY3" fmla="*/ 1238742 h 1238742"/>
            <a:gd name="connsiteX0" fmla="*/ 914400 w 914400"/>
            <a:gd name="connsiteY0" fmla="*/ 1200150 h 1200150"/>
            <a:gd name="connsiteX1" fmla="*/ 0 w 914400"/>
            <a:gd name="connsiteY1" fmla="*/ 171450 h 1200150"/>
            <a:gd name="connsiteX2" fmla="*/ 914400 w 914400"/>
            <a:gd name="connsiteY2" fmla="*/ 0 h 1200150"/>
            <a:gd name="connsiteX3" fmla="*/ 914400 w 914400"/>
            <a:gd name="connsiteY3" fmla="*/ 1200150 h 1200150"/>
            <a:gd name="connsiteX0" fmla="*/ 933450 w 933450"/>
            <a:gd name="connsiteY0" fmla="*/ 1253284 h 1253284"/>
            <a:gd name="connsiteX1" fmla="*/ 0 w 933450"/>
            <a:gd name="connsiteY1" fmla="*/ 72184 h 1253284"/>
            <a:gd name="connsiteX2" fmla="*/ 933450 w 933450"/>
            <a:gd name="connsiteY2" fmla="*/ 53134 h 1253284"/>
            <a:gd name="connsiteX3" fmla="*/ 933450 w 933450"/>
            <a:gd name="connsiteY3" fmla="*/ 1253284 h 1253284"/>
            <a:gd name="connsiteX0" fmla="*/ 933450 w 933450"/>
            <a:gd name="connsiteY0" fmla="*/ 1201143 h 1201143"/>
            <a:gd name="connsiteX1" fmla="*/ 0 w 933450"/>
            <a:gd name="connsiteY1" fmla="*/ 20043 h 1201143"/>
            <a:gd name="connsiteX2" fmla="*/ 933450 w 933450"/>
            <a:gd name="connsiteY2" fmla="*/ 993 h 1201143"/>
            <a:gd name="connsiteX3" fmla="*/ 933450 w 933450"/>
            <a:gd name="connsiteY3" fmla="*/ 1201143 h 1201143"/>
            <a:gd name="connsiteX0" fmla="*/ 262139 w 1090814"/>
            <a:gd name="connsiteY0" fmla="*/ 1258293 h 1258293"/>
            <a:gd name="connsiteX1" fmla="*/ 157364 w 1090814"/>
            <a:gd name="connsiteY1" fmla="*/ 20043 h 1258293"/>
            <a:gd name="connsiteX2" fmla="*/ 1090814 w 1090814"/>
            <a:gd name="connsiteY2" fmla="*/ 993 h 1258293"/>
            <a:gd name="connsiteX3" fmla="*/ 262139 w 1090814"/>
            <a:gd name="connsiteY3" fmla="*/ 1258293 h 1258293"/>
            <a:gd name="connsiteX0" fmla="*/ 262139 w 1090818"/>
            <a:gd name="connsiteY0" fmla="*/ 1258293 h 1272507"/>
            <a:gd name="connsiteX1" fmla="*/ 157364 w 1090818"/>
            <a:gd name="connsiteY1" fmla="*/ 20043 h 1272507"/>
            <a:gd name="connsiteX2" fmla="*/ 1090814 w 1090818"/>
            <a:gd name="connsiteY2" fmla="*/ 993 h 1272507"/>
            <a:gd name="connsiteX3" fmla="*/ 538363 w 1090818"/>
            <a:gd name="connsiteY3" fmla="*/ 505818 h 1272507"/>
            <a:gd name="connsiteX4" fmla="*/ 262139 w 1090818"/>
            <a:gd name="connsiteY4"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04775 w 933454"/>
            <a:gd name="connsiteY0" fmla="*/ 1258293 h 1272507"/>
            <a:gd name="connsiteX1" fmla="*/ 114299 w 933454"/>
            <a:gd name="connsiteY1" fmla="*/ 705843 h 1272507"/>
            <a:gd name="connsiteX2" fmla="*/ 0 w 933454"/>
            <a:gd name="connsiteY2" fmla="*/ 20043 h 1272507"/>
            <a:gd name="connsiteX3" fmla="*/ 933450 w 933454"/>
            <a:gd name="connsiteY3" fmla="*/ 993 h 1272507"/>
            <a:gd name="connsiteX4" fmla="*/ 380999 w 933454"/>
            <a:gd name="connsiteY4" fmla="*/ 505818 h 1272507"/>
            <a:gd name="connsiteX5" fmla="*/ 104775 w 933454"/>
            <a:gd name="connsiteY5" fmla="*/ 1258293 h 1272507"/>
            <a:gd name="connsiteX0" fmla="*/ 155750 w 984429"/>
            <a:gd name="connsiteY0" fmla="*/ 1258293 h 1272507"/>
            <a:gd name="connsiteX1" fmla="*/ 50975 w 984429"/>
            <a:gd name="connsiteY1" fmla="*/ 20043 h 1272507"/>
            <a:gd name="connsiteX2" fmla="*/ 984425 w 984429"/>
            <a:gd name="connsiteY2" fmla="*/ 993 h 1272507"/>
            <a:gd name="connsiteX3" fmla="*/ 431974 w 984429"/>
            <a:gd name="connsiteY3" fmla="*/ 505818 h 1272507"/>
            <a:gd name="connsiteX4" fmla="*/ 155750 w 984429"/>
            <a:gd name="connsiteY4" fmla="*/ 1258293 h 1272507"/>
            <a:gd name="connsiteX0" fmla="*/ 104775 w 933454"/>
            <a:gd name="connsiteY0" fmla="*/ 1258293 h 1272507"/>
            <a:gd name="connsiteX1" fmla="*/ 0 w 933454"/>
            <a:gd name="connsiteY1" fmla="*/ 20043 h 1272507"/>
            <a:gd name="connsiteX2" fmla="*/ 933450 w 933454"/>
            <a:gd name="connsiteY2" fmla="*/ 993 h 1272507"/>
            <a:gd name="connsiteX3" fmla="*/ 380999 w 933454"/>
            <a:gd name="connsiteY3" fmla="*/ 505818 h 1272507"/>
            <a:gd name="connsiteX4" fmla="*/ 104775 w 933454"/>
            <a:gd name="connsiteY4" fmla="*/ 1258293 h 1272507"/>
            <a:gd name="connsiteX0" fmla="*/ 104775 w 933454"/>
            <a:gd name="connsiteY0" fmla="*/ 1257300 h 1271514"/>
            <a:gd name="connsiteX1" fmla="*/ 0 w 933454"/>
            <a:gd name="connsiteY1" fmla="*/ 19050 h 1271514"/>
            <a:gd name="connsiteX2" fmla="*/ 933450 w 933454"/>
            <a:gd name="connsiteY2" fmla="*/ 0 h 1271514"/>
            <a:gd name="connsiteX3" fmla="*/ 380999 w 933454"/>
            <a:gd name="connsiteY3" fmla="*/ 504825 h 1271514"/>
            <a:gd name="connsiteX4" fmla="*/ 104775 w 933454"/>
            <a:gd name="connsiteY4" fmla="*/ 1257300 h 1271514"/>
            <a:gd name="connsiteX0" fmla="*/ 106468 w 935147"/>
            <a:gd name="connsiteY0" fmla="*/ 1257301 h 1271515"/>
            <a:gd name="connsiteX1" fmla="*/ 0 w 935147"/>
            <a:gd name="connsiteY1" fmla="*/ 0 h 1271515"/>
            <a:gd name="connsiteX2" fmla="*/ 935143 w 935147"/>
            <a:gd name="connsiteY2" fmla="*/ 1 h 1271515"/>
            <a:gd name="connsiteX3" fmla="*/ 382692 w 935147"/>
            <a:gd name="connsiteY3" fmla="*/ 504826 h 1271515"/>
            <a:gd name="connsiteX4" fmla="*/ 106468 w 935147"/>
            <a:gd name="connsiteY4" fmla="*/ 1257301 h 1271515"/>
            <a:gd name="connsiteX0" fmla="*/ 0 w 935147"/>
            <a:gd name="connsiteY0" fmla="*/ 3310736 h 3314537"/>
            <a:gd name="connsiteX1" fmla="*/ 0 w 935147"/>
            <a:gd name="connsiteY1" fmla="*/ 0 h 3314537"/>
            <a:gd name="connsiteX2" fmla="*/ 935143 w 935147"/>
            <a:gd name="connsiteY2" fmla="*/ 1 h 3314537"/>
            <a:gd name="connsiteX3" fmla="*/ 382692 w 935147"/>
            <a:gd name="connsiteY3" fmla="*/ 504826 h 3314537"/>
            <a:gd name="connsiteX4" fmla="*/ 0 w 935147"/>
            <a:gd name="connsiteY4" fmla="*/ 3310736 h 3314537"/>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42874"/>
            <a:gd name="connsiteY0" fmla="*/ 3310736 h 3365354"/>
            <a:gd name="connsiteX1" fmla="*/ 0 w 942874"/>
            <a:gd name="connsiteY1" fmla="*/ 0 h 3365354"/>
            <a:gd name="connsiteX2" fmla="*/ 935143 w 942874"/>
            <a:gd name="connsiteY2" fmla="*/ 1 h 3365354"/>
            <a:gd name="connsiteX3" fmla="*/ 335433 w 942874"/>
            <a:gd name="connsiteY3" fmla="*/ 1679359 h 3365354"/>
            <a:gd name="connsiteX4" fmla="*/ 0 w 942874"/>
            <a:gd name="connsiteY4" fmla="*/ 3310736 h 3365354"/>
            <a:gd name="connsiteX0" fmla="*/ 0 w 939483"/>
            <a:gd name="connsiteY0" fmla="*/ 3310736 h 3365354"/>
            <a:gd name="connsiteX1" fmla="*/ 0 w 939483"/>
            <a:gd name="connsiteY1" fmla="*/ 0 h 3365354"/>
            <a:gd name="connsiteX2" fmla="*/ 935143 w 939483"/>
            <a:gd name="connsiteY2" fmla="*/ 1 h 3365354"/>
            <a:gd name="connsiteX3" fmla="*/ 335433 w 939483"/>
            <a:gd name="connsiteY3" fmla="*/ 1679359 h 3365354"/>
            <a:gd name="connsiteX4" fmla="*/ 0 w 939483"/>
            <a:gd name="connsiteY4" fmla="*/ 3310736 h 3365354"/>
            <a:gd name="connsiteX0" fmla="*/ 0 w 939483"/>
            <a:gd name="connsiteY0" fmla="*/ 3310736 h 3310736"/>
            <a:gd name="connsiteX1" fmla="*/ 0 w 939483"/>
            <a:gd name="connsiteY1" fmla="*/ 0 h 3310736"/>
            <a:gd name="connsiteX2" fmla="*/ 935143 w 939483"/>
            <a:gd name="connsiteY2" fmla="*/ 1 h 3310736"/>
            <a:gd name="connsiteX3" fmla="*/ 335433 w 939483"/>
            <a:gd name="connsiteY3" fmla="*/ 1679359 h 3310736"/>
            <a:gd name="connsiteX4" fmla="*/ 0 w 93948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335433 w 935143"/>
            <a:gd name="connsiteY3" fmla="*/ 1679359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9206"/>
            <a:gd name="connsiteY0" fmla="*/ 3310736 h 3310736"/>
            <a:gd name="connsiteX1" fmla="*/ 0 w 939206"/>
            <a:gd name="connsiteY1" fmla="*/ 0 h 3310736"/>
            <a:gd name="connsiteX2" fmla="*/ 935143 w 939206"/>
            <a:gd name="connsiteY2" fmla="*/ 1 h 3310736"/>
            <a:gd name="connsiteX3" fmla="*/ 291387 w 939206"/>
            <a:gd name="connsiteY3" fmla="*/ 1463441 h 3310736"/>
            <a:gd name="connsiteX4" fmla="*/ 0 w 939206"/>
            <a:gd name="connsiteY4" fmla="*/ 3310736 h 3310736"/>
            <a:gd name="connsiteX0" fmla="*/ 0 w 940716"/>
            <a:gd name="connsiteY0" fmla="*/ 3310736 h 3310736"/>
            <a:gd name="connsiteX1" fmla="*/ 0 w 940716"/>
            <a:gd name="connsiteY1" fmla="*/ 0 h 3310736"/>
            <a:gd name="connsiteX2" fmla="*/ 935143 w 940716"/>
            <a:gd name="connsiteY2" fmla="*/ 1 h 3310736"/>
            <a:gd name="connsiteX3" fmla="*/ 291387 w 940716"/>
            <a:gd name="connsiteY3" fmla="*/ 1463441 h 3310736"/>
            <a:gd name="connsiteX4" fmla="*/ 0 w 940716"/>
            <a:gd name="connsiteY4" fmla="*/ 3310736 h 3310736"/>
            <a:gd name="connsiteX0" fmla="*/ 0 w 941081"/>
            <a:gd name="connsiteY0" fmla="*/ 3310736 h 3310736"/>
            <a:gd name="connsiteX1" fmla="*/ 0 w 941081"/>
            <a:gd name="connsiteY1" fmla="*/ 0 h 3310736"/>
            <a:gd name="connsiteX2" fmla="*/ 935143 w 941081"/>
            <a:gd name="connsiteY2" fmla="*/ 1 h 3310736"/>
            <a:gd name="connsiteX3" fmla="*/ 311716 w 941081"/>
            <a:gd name="connsiteY3" fmla="*/ 1239527 h 3310736"/>
            <a:gd name="connsiteX4" fmla="*/ 0 w 941081"/>
            <a:gd name="connsiteY4" fmla="*/ 3310736 h 3310736"/>
            <a:gd name="connsiteX0" fmla="*/ 0 w 940811"/>
            <a:gd name="connsiteY0" fmla="*/ 3310736 h 3310736"/>
            <a:gd name="connsiteX1" fmla="*/ 0 w 940811"/>
            <a:gd name="connsiteY1" fmla="*/ 0 h 3310736"/>
            <a:gd name="connsiteX2" fmla="*/ 935143 w 940811"/>
            <a:gd name="connsiteY2" fmla="*/ 1 h 3310736"/>
            <a:gd name="connsiteX3" fmla="*/ 311716 w 940811"/>
            <a:gd name="connsiteY3" fmla="*/ 1239527 h 3310736"/>
            <a:gd name="connsiteX4" fmla="*/ 0 w 940811"/>
            <a:gd name="connsiteY4" fmla="*/ 3310736 h 3310736"/>
            <a:gd name="connsiteX0" fmla="*/ 0 w 939594"/>
            <a:gd name="connsiteY0" fmla="*/ 3310736 h 3310736"/>
            <a:gd name="connsiteX1" fmla="*/ 0 w 939594"/>
            <a:gd name="connsiteY1" fmla="*/ 0 h 3310736"/>
            <a:gd name="connsiteX2" fmla="*/ 935143 w 939594"/>
            <a:gd name="connsiteY2" fmla="*/ 1 h 3310736"/>
            <a:gd name="connsiteX3" fmla="*/ 311716 w 939594"/>
            <a:gd name="connsiteY3" fmla="*/ 1239527 h 3310736"/>
            <a:gd name="connsiteX4" fmla="*/ 0 w 939594"/>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2184 w 941356"/>
            <a:gd name="connsiteY0" fmla="*/ 3310736 h 3688713"/>
            <a:gd name="connsiteX1" fmla="*/ 2184 w 941356"/>
            <a:gd name="connsiteY1" fmla="*/ 0 h 3688713"/>
            <a:gd name="connsiteX2" fmla="*/ 937327 w 941356"/>
            <a:gd name="connsiteY2" fmla="*/ 1 h 3688713"/>
            <a:gd name="connsiteX3" fmla="*/ 271547 w 941356"/>
            <a:gd name="connsiteY3" fmla="*/ 1327493 h 3688713"/>
            <a:gd name="connsiteX4" fmla="*/ 2184 w 941356"/>
            <a:gd name="connsiteY4" fmla="*/ 3310736 h 3688713"/>
            <a:gd name="connsiteX0" fmla="*/ 2184 w 939902"/>
            <a:gd name="connsiteY0" fmla="*/ 3612860 h 3990837"/>
            <a:gd name="connsiteX1" fmla="*/ 2184 w 939902"/>
            <a:gd name="connsiteY1" fmla="*/ 302124 h 3990837"/>
            <a:gd name="connsiteX2" fmla="*/ 937327 w 939902"/>
            <a:gd name="connsiteY2" fmla="*/ 302125 h 3990837"/>
            <a:gd name="connsiteX3" fmla="*/ 271547 w 939902"/>
            <a:gd name="connsiteY3" fmla="*/ 1629617 h 3990837"/>
            <a:gd name="connsiteX4" fmla="*/ 2184 w 939902"/>
            <a:gd name="connsiteY4" fmla="*/ 3612860 h 3990837"/>
            <a:gd name="connsiteX0" fmla="*/ 2184 w 939902"/>
            <a:gd name="connsiteY0" fmla="*/ 3310736 h 3688713"/>
            <a:gd name="connsiteX1" fmla="*/ 2184 w 939902"/>
            <a:gd name="connsiteY1" fmla="*/ 0 h 3688713"/>
            <a:gd name="connsiteX2" fmla="*/ 937327 w 939902"/>
            <a:gd name="connsiteY2" fmla="*/ 1 h 3688713"/>
            <a:gd name="connsiteX3" fmla="*/ 271547 w 939902"/>
            <a:gd name="connsiteY3" fmla="*/ 1327493 h 3688713"/>
            <a:gd name="connsiteX4" fmla="*/ 2184 w 939902"/>
            <a:gd name="connsiteY4" fmla="*/ 3310736 h 3688713"/>
            <a:gd name="connsiteX0" fmla="*/ 2184 w 941752"/>
            <a:gd name="connsiteY0" fmla="*/ 3310741 h 3688718"/>
            <a:gd name="connsiteX1" fmla="*/ 2184 w 941752"/>
            <a:gd name="connsiteY1" fmla="*/ 5 h 3688718"/>
            <a:gd name="connsiteX2" fmla="*/ 937327 w 941752"/>
            <a:gd name="connsiteY2" fmla="*/ 6 h 3688718"/>
            <a:gd name="connsiteX3" fmla="*/ 271547 w 941752"/>
            <a:gd name="connsiteY3" fmla="*/ 1327498 h 3688718"/>
            <a:gd name="connsiteX4" fmla="*/ 2184 w 941752"/>
            <a:gd name="connsiteY4" fmla="*/ 3310741 h 3688718"/>
            <a:gd name="connsiteX0" fmla="*/ 2869 w 942437"/>
            <a:gd name="connsiteY0" fmla="*/ 3310741 h 3332727"/>
            <a:gd name="connsiteX1" fmla="*/ 2869 w 942437"/>
            <a:gd name="connsiteY1" fmla="*/ 5 h 3332727"/>
            <a:gd name="connsiteX2" fmla="*/ 938012 w 942437"/>
            <a:gd name="connsiteY2" fmla="*/ 6 h 3332727"/>
            <a:gd name="connsiteX3" fmla="*/ 272232 w 942437"/>
            <a:gd name="connsiteY3" fmla="*/ 1327498 h 3332727"/>
            <a:gd name="connsiteX4" fmla="*/ 2869 w 942437"/>
            <a:gd name="connsiteY4" fmla="*/ 3310741 h 3332727"/>
            <a:gd name="connsiteX0" fmla="*/ 24846 w 964329"/>
            <a:gd name="connsiteY0" fmla="*/ 3401367 h 3435362"/>
            <a:gd name="connsiteX1" fmla="*/ 24846 w 964329"/>
            <a:gd name="connsiteY1" fmla="*/ 90631 h 3435362"/>
            <a:gd name="connsiteX2" fmla="*/ 959989 w 964329"/>
            <a:gd name="connsiteY2" fmla="*/ 90632 h 3435362"/>
            <a:gd name="connsiteX3" fmla="*/ 360279 w 964329"/>
            <a:gd name="connsiteY3" fmla="*/ 1314164 h 3435362"/>
            <a:gd name="connsiteX4" fmla="*/ 24846 w 964329"/>
            <a:gd name="connsiteY4" fmla="*/ 3401367 h 3435362"/>
            <a:gd name="connsiteX0" fmla="*/ 0 w 939483"/>
            <a:gd name="connsiteY0" fmla="*/ 3401367 h 3435362"/>
            <a:gd name="connsiteX1" fmla="*/ 0 w 939483"/>
            <a:gd name="connsiteY1" fmla="*/ 90631 h 3435362"/>
            <a:gd name="connsiteX2" fmla="*/ 935143 w 939483"/>
            <a:gd name="connsiteY2" fmla="*/ 90632 h 3435362"/>
            <a:gd name="connsiteX3" fmla="*/ 335433 w 939483"/>
            <a:gd name="connsiteY3" fmla="*/ 1314164 h 3435362"/>
            <a:gd name="connsiteX4" fmla="*/ 0 w 939483"/>
            <a:gd name="connsiteY4" fmla="*/ 3401367 h 3435362"/>
            <a:gd name="connsiteX0" fmla="*/ 78 w 939561"/>
            <a:gd name="connsiteY0" fmla="*/ 3401367 h 3455659"/>
            <a:gd name="connsiteX1" fmla="*/ 78 w 939561"/>
            <a:gd name="connsiteY1" fmla="*/ 90631 h 3455659"/>
            <a:gd name="connsiteX2" fmla="*/ 935221 w 939561"/>
            <a:gd name="connsiteY2" fmla="*/ 90632 h 3455659"/>
            <a:gd name="connsiteX3" fmla="*/ 335511 w 939561"/>
            <a:gd name="connsiteY3" fmla="*/ 1314164 h 3455659"/>
            <a:gd name="connsiteX4" fmla="*/ 78 w 939561"/>
            <a:gd name="connsiteY4" fmla="*/ 3401367 h 3455659"/>
            <a:gd name="connsiteX0" fmla="*/ 78 w 939561"/>
            <a:gd name="connsiteY0" fmla="*/ 3310736 h 3365028"/>
            <a:gd name="connsiteX1" fmla="*/ 78 w 939561"/>
            <a:gd name="connsiteY1" fmla="*/ 0 h 3365028"/>
            <a:gd name="connsiteX2" fmla="*/ 935221 w 939561"/>
            <a:gd name="connsiteY2" fmla="*/ 1 h 3365028"/>
            <a:gd name="connsiteX3" fmla="*/ 335511 w 939561"/>
            <a:gd name="connsiteY3" fmla="*/ 1223533 h 3365028"/>
            <a:gd name="connsiteX4" fmla="*/ 78 w 939561"/>
            <a:gd name="connsiteY4" fmla="*/ 3310736 h 3365028"/>
            <a:gd name="connsiteX0" fmla="*/ 78 w 938432"/>
            <a:gd name="connsiteY0" fmla="*/ 3310752 h 3365044"/>
            <a:gd name="connsiteX1" fmla="*/ 78 w 938432"/>
            <a:gd name="connsiteY1" fmla="*/ 16 h 3365044"/>
            <a:gd name="connsiteX2" fmla="*/ 935221 w 938432"/>
            <a:gd name="connsiteY2" fmla="*/ 17 h 3365044"/>
            <a:gd name="connsiteX3" fmla="*/ 335511 w 938432"/>
            <a:gd name="connsiteY3" fmla="*/ 1223549 h 3365044"/>
            <a:gd name="connsiteX4" fmla="*/ 78 w 938432"/>
            <a:gd name="connsiteY4" fmla="*/ 3310752 h 3365044"/>
            <a:gd name="connsiteX0" fmla="*/ 37 w 938611"/>
            <a:gd name="connsiteY0" fmla="*/ 3310752 h 3367422"/>
            <a:gd name="connsiteX1" fmla="*/ 37 w 938611"/>
            <a:gd name="connsiteY1" fmla="*/ 16 h 3367422"/>
            <a:gd name="connsiteX2" fmla="*/ 935180 w 938611"/>
            <a:gd name="connsiteY2" fmla="*/ 17 h 3367422"/>
            <a:gd name="connsiteX3" fmla="*/ 369352 w 938611"/>
            <a:gd name="connsiteY3" fmla="*/ 1271531 h 3367422"/>
            <a:gd name="connsiteX4" fmla="*/ 37 w 938611"/>
            <a:gd name="connsiteY4" fmla="*/ 3310752 h 3367422"/>
            <a:gd name="connsiteX0" fmla="*/ 13 w 938874"/>
            <a:gd name="connsiteY0" fmla="*/ 3310755 h 3342063"/>
            <a:gd name="connsiteX1" fmla="*/ 13 w 938874"/>
            <a:gd name="connsiteY1" fmla="*/ 19 h 3342063"/>
            <a:gd name="connsiteX2" fmla="*/ 935156 w 938874"/>
            <a:gd name="connsiteY2" fmla="*/ 20 h 3342063"/>
            <a:gd name="connsiteX3" fmla="*/ 369328 w 938874"/>
            <a:gd name="connsiteY3" fmla="*/ 1271534 h 3342063"/>
            <a:gd name="connsiteX4" fmla="*/ 13 w 938874"/>
            <a:gd name="connsiteY4" fmla="*/ 3310755 h 3342063"/>
            <a:gd name="connsiteX0" fmla="*/ 23 w 939744"/>
            <a:gd name="connsiteY0" fmla="*/ 3310816 h 3351420"/>
            <a:gd name="connsiteX1" fmla="*/ 23 w 939744"/>
            <a:gd name="connsiteY1" fmla="*/ 80 h 3351420"/>
            <a:gd name="connsiteX2" fmla="*/ 935166 w 939744"/>
            <a:gd name="connsiteY2" fmla="*/ 81 h 3351420"/>
            <a:gd name="connsiteX3" fmla="*/ 369338 w 939744"/>
            <a:gd name="connsiteY3" fmla="*/ 1271595 h 3351420"/>
            <a:gd name="connsiteX4" fmla="*/ 23 w 939744"/>
            <a:gd name="connsiteY4" fmla="*/ 3310816 h 3351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39744" h="3351420">
              <a:moveTo>
                <a:pt x="23" y="3310816"/>
              </a:moveTo>
              <a:lnTo>
                <a:pt x="23" y="80"/>
              </a:lnTo>
              <a:lnTo>
                <a:pt x="935166" y="81"/>
              </a:lnTo>
              <a:cubicBezTo>
                <a:pt x="982601" y="-3917"/>
                <a:pt x="652252" y="136029"/>
                <a:pt x="369338" y="1271595"/>
              </a:cubicBezTo>
              <a:cubicBezTo>
                <a:pt x="86424" y="2407161"/>
                <a:pt x="-1672" y="3586711"/>
                <a:pt x="23" y="3310816"/>
              </a:cubicBezTo>
              <a:close/>
            </a:path>
          </a:pathLst>
        </a:custGeom>
        <a:solidFill>
          <a:schemeClr val="accent5">
            <a:lumMod val="60000"/>
            <a:lumOff val="40000"/>
            <a:alpha val="2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0</xdr:col>
      <xdr:colOff>172403</xdr:colOff>
      <xdr:row>24</xdr:row>
      <xdr:rowOff>39053</xdr:rowOff>
    </xdr:from>
    <xdr:ext cx="188595" cy="188595"/>
    <xdr:pic>
      <xdr:nvPicPr>
        <xdr:cNvPr id="25" name="Graphic 24" descr="Web design with solid fill">
          <a:extLst>
            <a:ext uri="{FF2B5EF4-FFF2-40B4-BE49-F238E27FC236}">
              <a16:creationId xmlns:a16="http://schemas.microsoft.com/office/drawing/2014/main" id="{46AF058D-07F7-4BFD-BC4D-31825C8E8C9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334828"/>
          <a:ext cx="188595" cy="188595"/>
        </a:xfrm>
        <a:prstGeom prst="rect">
          <a:avLst/>
        </a:prstGeom>
      </xdr:spPr>
    </xdr:pic>
    <xdr:clientData/>
  </xdr:oneCellAnchor>
  <xdr:twoCellAnchor>
    <xdr:from>
      <xdr:col>5</xdr:col>
      <xdr:colOff>285750</xdr:colOff>
      <xdr:row>31</xdr:row>
      <xdr:rowOff>57150</xdr:rowOff>
    </xdr:from>
    <xdr:to>
      <xdr:col>5</xdr:col>
      <xdr:colOff>285750</xdr:colOff>
      <xdr:row>39</xdr:row>
      <xdr:rowOff>85725</xdr:rowOff>
    </xdr:to>
    <xdr:cxnSp macro="">
      <xdr:nvCxnSpPr>
        <xdr:cNvPr id="26" name="Straight Connector 25">
          <a:extLst>
            <a:ext uri="{FF2B5EF4-FFF2-40B4-BE49-F238E27FC236}">
              <a16:creationId xmlns:a16="http://schemas.microsoft.com/office/drawing/2014/main" id="{3B11D414-F51C-43E7-B088-658262D83AE1}"/>
            </a:ext>
          </a:extLst>
        </xdr:cNvPr>
        <xdr:cNvCxnSpPr/>
      </xdr:nvCxnSpPr>
      <xdr:spPr>
        <a:xfrm>
          <a:off x="3105150" y="5848350"/>
          <a:ext cx="0" cy="163830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172403</xdr:colOff>
      <xdr:row>25</xdr:row>
      <xdr:rowOff>39053</xdr:rowOff>
    </xdr:from>
    <xdr:ext cx="188595" cy="188595"/>
    <xdr:pic>
      <xdr:nvPicPr>
        <xdr:cNvPr id="27" name="Graphic 26" descr="Web design with solid fill">
          <a:extLst>
            <a:ext uri="{FF2B5EF4-FFF2-40B4-BE49-F238E27FC236}">
              <a16:creationId xmlns:a16="http://schemas.microsoft.com/office/drawing/2014/main" id="{3EF4E864-EB55-45C0-9305-E13AA1C6731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563428"/>
          <a:ext cx="188595" cy="188595"/>
        </a:xfrm>
        <a:prstGeom prst="rect">
          <a:avLst/>
        </a:prstGeom>
      </xdr:spPr>
    </xdr:pic>
    <xdr:clientData/>
  </xdr:oneCellAnchor>
  <xdr:oneCellAnchor>
    <xdr:from>
      <xdr:col>0</xdr:col>
      <xdr:colOff>172403</xdr:colOff>
      <xdr:row>23</xdr:row>
      <xdr:rowOff>39053</xdr:rowOff>
    </xdr:from>
    <xdr:ext cx="188595" cy="188595"/>
    <xdr:pic>
      <xdr:nvPicPr>
        <xdr:cNvPr id="28" name="Graphic 27" descr="Web design with solid fill">
          <a:extLst>
            <a:ext uri="{FF2B5EF4-FFF2-40B4-BE49-F238E27FC236}">
              <a16:creationId xmlns:a16="http://schemas.microsoft.com/office/drawing/2014/main" id="{8AC39DA0-DFE9-4A6D-90F2-AE4914D66C9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flipH="1">
          <a:off x="172403" y="4106228"/>
          <a:ext cx="188595" cy="18859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xdr:row>
      <xdr:rowOff>38100</xdr:rowOff>
    </xdr:from>
    <xdr:ext cx="1218867" cy="1219200"/>
    <xdr:pic>
      <xdr:nvPicPr>
        <xdr:cNvPr id="2" name="Picture 3" descr="A person smiling for a picture&#10;&#10;Description automatically generated">
          <a:extLst>
            <a:ext uri="{FF2B5EF4-FFF2-40B4-BE49-F238E27FC236}">
              <a16:creationId xmlns:a16="http://schemas.microsoft.com/office/drawing/2014/main" id="{739B0535-68DF-4380-87F3-E789368CA03C}"/>
            </a:ext>
          </a:extLst>
        </xdr:cNvPr>
        <xdr:cNvPicPr>
          <a:picLocks noChangeAspect="1" noChangeArrowheads="1"/>
        </xdr:cNvPicPr>
      </xdr:nvPicPr>
      <xdr:blipFill rotWithShape="1">
        <a:blip xmlns:r="http://schemas.openxmlformats.org/officeDocument/2006/relationships" r:embed="rId1" cstate="screen">
          <a:extLst>
            <a:ext uri="{BEBA8EAE-BF5A-486C-A8C5-ECC9F3942E4B}">
              <a14:imgProps xmlns:a14="http://schemas.microsoft.com/office/drawing/2010/main">
                <a14:imgLayer r:embed="rId2">
                  <a14:imgEffect>
                    <a14:backgroundRemoval t="1176" b="100000" l="2985" r="96642">
                      <a14:foregroundMark x1="35448" y1="5882" x2="64179" y2="6667"/>
                      <a14:foregroundMark x1="48881" y1="1176" x2="48881" y2="1176"/>
                      <a14:foregroundMark x1="64179" y1="92549" x2="64179" y2="92549"/>
                      <a14:foregroundMark x1="70149" y1="90980" x2="68284" y2="99608"/>
                      <a14:foregroundMark x1="31716" y1="83137" x2="57463" y2="99608"/>
                      <a14:foregroundMark x1="75000" y1="85490" x2="75000" y2="99608"/>
                      <a14:foregroundMark x1="73507" y1="82745" x2="86940" y2="99608"/>
                      <a14:foregroundMark x1="89925" y1="91765" x2="92164" y2="92941"/>
                      <a14:foregroundMark x1="94030" y1="88627" x2="93657" y2="99608"/>
                      <a14:foregroundMark x1="27239" y1="86275" x2="36567" y2="99608"/>
                      <a14:foregroundMark x1="23134" y1="84706" x2="3731" y2="92941"/>
                      <a14:foregroundMark x1="96642" y1="92941" x2="96642" y2="99608"/>
                    </a14:backgroundRemoval>
                  </a14:imgEffect>
                  <a14:imgEffect>
                    <a14:sharpenSoften amount="51000"/>
                  </a14:imgEffect>
                  <a14:imgEffect>
                    <a14:colorTemperature colorTemp="8800"/>
                  </a14:imgEffect>
                  <a14:imgEffect>
                    <a14:brightnessContrast bright="9000" contrast="33000"/>
                  </a14:imgEffect>
                </a14:imgLayer>
              </a14:imgProps>
            </a:ext>
            <a:ext uri="{28A0092B-C50C-407E-A947-70E740481C1C}">
              <a14:useLocalDpi xmlns:a14="http://schemas.microsoft.com/office/drawing/2010/main"/>
            </a:ext>
          </a:extLst>
        </a:blip>
        <a:srcRect/>
        <a:stretch/>
      </xdr:blipFill>
      <xdr:spPr bwMode="auto">
        <a:xfrm>
          <a:off x="381000" y="133350"/>
          <a:ext cx="1218867" cy="1219200"/>
        </a:xfrm>
        <a:prstGeom prst="rect">
          <a:avLst/>
        </a:prstGeom>
        <a:ln>
          <a:noFill/>
        </a:ln>
        <a:effectLst>
          <a:outerShdw blurRad="101600" dir="1560000" sx="99000" sy="99000" algn="tl" rotWithShape="0">
            <a:schemeClr val="tx1">
              <a:lumMod val="95000"/>
              <a:lumOff val="5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3</xdr:col>
      <xdr:colOff>410550</xdr:colOff>
      <xdr:row>5</xdr:row>
      <xdr:rowOff>123825</xdr:rowOff>
    </xdr:from>
    <xdr:to>
      <xdr:col>3</xdr:col>
      <xdr:colOff>590550</xdr:colOff>
      <xdr:row>6</xdr:row>
      <xdr:rowOff>75225</xdr:rowOff>
    </xdr:to>
    <xdr:pic>
      <xdr:nvPicPr>
        <xdr:cNvPr id="5" name="Graphic 4" descr="Home with solid fill">
          <a:extLst>
            <a:ext uri="{FF2B5EF4-FFF2-40B4-BE49-F238E27FC236}">
              <a16:creationId xmlns:a16="http://schemas.microsoft.com/office/drawing/2014/main" id="{5B0ADDE9-EFD8-4535-84E9-6B1C39DCE4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010750" y="790575"/>
          <a:ext cx="180000" cy="180000"/>
        </a:xfrm>
        <a:prstGeom prst="rect">
          <a:avLst/>
        </a:prstGeom>
      </xdr:spPr>
    </xdr:pic>
    <xdr:clientData/>
  </xdr:twoCellAnchor>
  <xdr:twoCellAnchor editAs="oneCell">
    <xdr:from>
      <xdr:col>5</xdr:col>
      <xdr:colOff>410700</xdr:colOff>
      <xdr:row>30</xdr:row>
      <xdr:rowOff>29700</xdr:rowOff>
    </xdr:from>
    <xdr:to>
      <xdr:col>6</xdr:col>
      <xdr:colOff>18900</xdr:colOff>
      <xdr:row>31</xdr:row>
      <xdr:rowOff>18900</xdr:rowOff>
    </xdr:to>
    <xdr:pic>
      <xdr:nvPicPr>
        <xdr:cNvPr id="7" name="Graphic 6" descr="Graduation cap with solid fill">
          <a:extLst>
            <a:ext uri="{FF2B5EF4-FFF2-40B4-BE49-F238E27FC236}">
              <a16:creationId xmlns:a16="http://schemas.microsoft.com/office/drawing/2014/main" id="{2C97CBBF-E1C4-45BB-A50C-6FA026B0E8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30100" y="6173325"/>
          <a:ext cx="217800" cy="217800"/>
        </a:xfrm>
        <a:prstGeom prst="rect">
          <a:avLst/>
        </a:prstGeom>
      </xdr:spPr>
    </xdr:pic>
    <xdr:clientData/>
  </xdr:twoCellAnchor>
  <xdr:twoCellAnchor editAs="oneCell">
    <xdr:from>
      <xdr:col>5</xdr:col>
      <xdr:colOff>429600</xdr:colOff>
      <xdr:row>34</xdr:row>
      <xdr:rowOff>48600</xdr:rowOff>
    </xdr:from>
    <xdr:to>
      <xdr:col>6</xdr:col>
      <xdr:colOff>0</xdr:colOff>
      <xdr:row>35</xdr:row>
      <xdr:rowOff>0</xdr:rowOff>
    </xdr:to>
    <xdr:pic>
      <xdr:nvPicPr>
        <xdr:cNvPr id="8" name="Graphic 7" descr="Books with solid fill">
          <a:extLst>
            <a:ext uri="{FF2B5EF4-FFF2-40B4-BE49-F238E27FC236}">
              <a16:creationId xmlns:a16="http://schemas.microsoft.com/office/drawing/2014/main" id="{9DF5A0F3-3F7A-4B7B-8668-FF0A1F08195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249000" y="7030425"/>
          <a:ext cx="180000" cy="180000"/>
        </a:xfrm>
        <a:prstGeom prst="rect">
          <a:avLst/>
        </a:prstGeom>
      </xdr:spPr>
    </xdr:pic>
    <xdr:clientData/>
  </xdr:twoCellAnchor>
  <xdr:twoCellAnchor editAs="oneCell">
    <xdr:from>
      <xdr:col>0</xdr:col>
      <xdr:colOff>172403</xdr:colOff>
      <xdr:row>30</xdr:row>
      <xdr:rowOff>48578</xdr:rowOff>
    </xdr:from>
    <xdr:to>
      <xdr:col>0</xdr:col>
      <xdr:colOff>360998</xdr:colOff>
      <xdr:row>31</xdr:row>
      <xdr:rowOff>8573</xdr:rowOff>
    </xdr:to>
    <xdr:pic>
      <xdr:nvPicPr>
        <xdr:cNvPr id="9" name="Graphic 8" descr="Web design with solid fill">
          <a:extLst>
            <a:ext uri="{FF2B5EF4-FFF2-40B4-BE49-F238E27FC236}">
              <a16:creationId xmlns:a16="http://schemas.microsoft.com/office/drawing/2014/main" id="{9EE4E352-4D49-41C8-849F-7EE6136537D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6192203"/>
          <a:ext cx="188595" cy="188595"/>
        </a:xfrm>
        <a:prstGeom prst="rect">
          <a:avLst/>
        </a:prstGeom>
      </xdr:spPr>
    </xdr:pic>
    <xdr:clientData/>
  </xdr:twoCellAnchor>
  <xdr:oneCellAnchor>
    <xdr:from>
      <xdr:col>5</xdr:col>
      <xdr:colOff>410700</xdr:colOff>
      <xdr:row>32</xdr:row>
      <xdr:rowOff>29700</xdr:rowOff>
    </xdr:from>
    <xdr:ext cx="217800" cy="217800"/>
    <xdr:pic>
      <xdr:nvPicPr>
        <xdr:cNvPr id="10" name="Graphic 9" descr="Graduation cap with solid fill">
          <a:extLst>
            <a:ext uri="{FF2B5EF4-FFF2-40B4-BE49-F238E27FC236}">
              <a16:creationId xmlns:a16="http://schemas.microsoft.com/office/drawing/2014/main" id="{9A8DEC0B-5640-46DB-A34B-8039706011C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30100" y="6592425"/>
          <a:ext cx="217800" cy="217800"/>
        </a:xfrm>
        <a:prstGeom prst="rect">
          <a:avLst/>
        </a:prstGeom>
      </xdr:spPr>
    </xdr:pic>
    <xdr:clientData/>
  </xdr:oneCellAnchor>
  <xdr:oneCellAnchor>
    <xdr:from>
      <xdr:col>0</xdr:col>
      <xdr:colOff>172403</xdr:colOff>
      <xdr:row>25</xdr:row>
      <xdr:rowOff>39053</xdr:rowOff>
    </xdr:from>
    <xdr:ext cx="188595" cy="188595"/>
    <xdr:pic>
      <xdr:nvPicPr>
        <xdr:cNvPr id="11" name="Graphic 10" descr="Web design with solid fill">
          <a:extLst>
            <a:ext uri="{FF2B5EF4-FFF2-40B4-BE49-F238E27FC236}">
              <a16:creationId xmlns:a16="http://schemas.microsoft.com/office/drawing/2014/main" id="{53A82E05-0526-4F74-942E-64E2E2B3E95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5249228"/>
          <a:ext cx="188595" cy="188595"/>
        </a:xfrm>
        <a:prstGeom prst="rect">
          <a:avLst/>
        </a:prstGeom>
      </xdr:spPr>
    </xdr:pic>
    <xdr:clientData/>
  </xdr:oneCellAnchor>
  <xdr:oneCellAnchor>
    <xdr:from>
      <xdr:col>0</xdr:col>
      <xdr:colOff>172403</xdr:colOff>
      <xdr:row>32</xdr:row>
      <xdr:rowOff>48578</xdr:rowOff>
    </xdr:from>
    <xdr:ext cx="188595" cy="188595"/>
    <xdr:pic>
      <xdr:nvPicPr>
        <xdr:cNvPr id="12" name="Graphic 11" descr="Web design with solid fill">
          <a:extLst>
            <a:ext uri="{FF2B5EF4-FFF2-40B4-BE49-F238E27FC236}">
              <a16:creationId xmlns:a16="http://schemas.microsoft.com/office/drawing/2014/main" id="{2F0EB9EA-4CC5-43A6-AD33-6C5EE09E15A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6611303"/>
          <a:ext cx="188595" cy="188595"/>
        </a:xfrm>
        <a:prstGeom prst="rect">
          <a:avLst/>
        </a:prstGeom>
      </xdr:spPr>
    </xdr:pic>
    <xdr:clientData/>
  </xdr:oneCellAnchor>
  <xdr:oneCellAnchor>
    <xdr:from>
      <xdr:col>0</xdr:col>
      <xdr:colOff>172403</xdr:colOff>
      <xdr:row>34</xdr:row>
      <xdr:rowOff>48578</xdr:rowOff>
    </xdr:from>
    <xdr:ext cx="188595" cy="188595"/>
    <xdr:pic>
      <xdr:nvPicPr>
        <xdr:cNvPr id="13" name="Graphic 12" descr="Web design with solid fill">
          <a:extLst>
            <a:ext uri="{FF2B5EF4-FFF2-40B4-BE49-F238E27FC236}">
              <a16:creationId xmlns:a16="http://schemas.microsoft.com/office/drawing/2014/main" id="{8E08BF43-B949-4945-BD36-08118639348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7030403"/>
          <a:ext cx="188595" cy="188595"/>
        </a:xfrm>
        <a:prstGeom prst="rect">
          <a:avLst/>
        </a:prstGeom>
      </xdr:spPr>
    </xdr:pic>
    <xdr:clientData/>
  </xdr:oneCellAnchor>
  <xdr:twoCellAnchor editAs="oneCell">
    <xdr:from>
      <xdr:col>0</xdr:col>
      <xdr:colOff>172425</xdr:colOff>
      <xdr:row>47</xdr:row>
      <xdr:rowOff>9525</xdr:rowOff>
    </xdr:from>
    <xdr:to>
      <xdr:col>0</xdr:col>
      <xdr:colOff>352425</xdr:colOff>
      <xdr:row>47</xdr:row>
      <xdr:rowOff>189525</xdr:rowOff>
    </xdr:to>
    <xdr:pic>
      <xdr:nvPicPr>
        <xdr:cNvPr id="14" name="Graphic 13" descr="Briefcase with solid fill">
          <a:extLst>
            <a:ext uri="{FF2B5EF4-FFF2-40B4-BE49-F238E27FC236}">
              <a16:creationId xmlns:a16="http://schemas.microsoft.com/office/drawing/2014/main" id="{D47D2C3D-F190-41C7-AA55-AAE512C669B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72425" y="9058275"/>
          <a:ext cx="180000" cy="180000"/>
        </a:xfrm>
        <a:prstGeom prst="rect">
          <a:avLst/>
        </a:prstGeom>
      </xdr:spPr>
    </xdr:pic>
    <xdr:clientData/>
  </xdr:twoCellAnchor>
  <xdr:twoCellAnchor editAs="oneCell">
    <xdr:from>
      <xdr:col>0</xdr:col>
      <xdr:colOff>172425</xdr:colOff>
      <xdr:row>38</xdr:row>
      <xdr:rowOff>20025</xdr:rowOff>
    </xdr:from>
    <xdr:to>
      <xdr:col>0</xdr:col>
      <xdr:colOff>352425</xdr:colOff>
      <xdr:row>39</xdr:row>
      <xdr:rowOff>9525</xdr:rowOff>
    </xdr:to>
    <xdr:pic>
      <xdr:nvPicPr>
        <xdr:cNvPr id="15" name="Graphic 14" descr="Briefcase with solid fill">
          <a:extLst>
            <a:ext uri="{FF2B5EF4-FFF2-40B4-BE49-F238E27FC236}">
              <a16:creationId xmlns:a16="http://schemas.microsoft.com/office/drawing/2014/main" id="{DFC74F53-5F6A-4342-B67B-60B5E346D47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72425" y="7849575"/>
          <a:ext cx="180000" cy="180000"/>
        </a:xfrm>
        <a:prstGeom prst="rect">
          <a:avLst/>
        </a:prstGeom>
      </xdr:spPr>
    </xdr:pic>
    <xdr:clientData/>
  </xdr:twoCellAnchor>
  <xdr:twoCellAnchor editAs="oneCell">
    <xdr:from>
      <xdr:col>0</xdr:col>
      <xdr:colOff>153525</xdr:colOff>
      <xdr:row>14</xdr:row>
      <xdr:rowOff>96375</xdr:rowOff>
    </xdr:from>
    <xdr:to>
      <xdr:col>0</xdr:col>
      <xdr:colOff>371325</xdr:colOff>
      <xdr:row>15</xdr:row>
      <xdr:rowOff>85575</xdr:rowOff>
    </xdr:to>
    <xdr:pic>
      <xdr:nvPicPr>
        <xdr:cNvPr id="16" name="Graphic 15" descr="Office worker male with solid fill">
          <a:extLst>
            <a:ext uri="{FF2B5EF4-FFF2-40B4-BE49-F238E27FC236}">
              <a16:creationId xmlns:a16="http://schemas.microsoft.com/office/drawing/2014/main" id="{569E137E-5970-4516-91E3-16C3129E696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53525" y="2487150"/>
          <a:ext cx="217800" cy="217800"/>
        </a:xfrm>
        <a:prstGeom prst="rect">
          <a:avLst/>
        </a:prstGeom>
      </xdr:spPr>
    </xdr:pic>
    <xdr:clientData/>
  </xdr:twoCellAnchor>
  <xdr:twoCellAnchor editAs="oneCell">
    <xdr:from>
      <xdr:col>0</xdr:col>
      <xdr:colOff>104220</xdr:colOff>
      <xdr:row>10</xdr:row>
      <xdr:rowOff>63045</xdr:rowOff>
    </xdr:from>
    <xdr:to>
      <xdr:col>0</xdr:col>
      <xdr:colOff>365580</xdr:colOff>
      <xdr:row>11</xdr:row>
      <xdr:rowOff>133905</xdr:rowOff>
    </xdr:to>
    <xdr:pic>
      <xdr:nvPicPr>
        <xdr:cNvPr id="17" name="Graphic 16" descr="Spinning Plates with solid fill">
          <a:extLst>
            <a:ext uri="{FF2B5EF4-FFF2-40B4-BE49-F238E27FC236}">
              <a16:creationId xmlns:a16="http://schemas.microsoft.com/office/drawing/2014/main" id="{89781C7A-9F0D-419D-BF4C-859BFE81EB0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4220" y="2539545"/>
          <a:ext cx="261360" cy="261360"/>
        </a:xfrm>
        <a:prstGeom prst="rect">
          <a:avLst/>
        </a:prstGeom>
      </xdr:spPr>
    </xdr:pic>
    <xdr:clientData/>
  </xdr:twoCellAnchor>
  <xdr:oneCellAnchor>
    <xdr:from>
      <xdr:col>2</xdr:col>
      <xdr:colOff>420075</xdr:colOff>
      <xdr:row>48</xdr:row>
      <xdr:rowOff>19050</xdr:rowOff>
    </xdr:from>
    <xdr:ext cx="180000" cy="180000"/>
    <xdr:pic>
      <xdr:nvPicPr>
        <xdr:cNvPr id="19" name="Graphic 18" descr="Factory with solid fill">
          <a:extLst>
            <a:ext uri="{FF2B5EF4-FFF2-40B4-BE49-F238E27FC236}">
              <a16:creationId xmlns:a16="http://schemas.microsoft.com/office/drawing/2014/main" id="{2890C3D9-5AC1-4272-8A53-46773216560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10675" y="9258300"/>
          <a:ext cx="180000" cy="180000"/>
        </a:xfrm>
        <a:prstGeom prst="rect">
          <a:avLst/>
        </a:prstGeom>
      </xdr:spPr>
    </xdr:pic>
    <xdr:clientData/>
  </xdr:oneCellAnchor>
  <xdr:oneCellAnchor>
    <xdr:from>
      <xdr:col>0</xdr:col>
      <xdr:colOff>172403</xdr:colOff>
      <xdr:row>23</xdr:row>
      <xdr:rowOff>39053</xdr:rowOff>
    </xdr:from>
    <xdr:ext cx="188595" cy="188595"/>
    <xdr:pic>
      <xdr:nvPicPr>
        <xdr:cNvPr id="20" name="Graphic 19" descr="Web design with solid fill">
          <a:extLst>
            <a:ext uri="{FF2B5EF4-FFF2-40B4-BE49-F238E27FC236}">
              <a16:creationId xmlns:a16="http://schemas.microsoft.com/office/drawing/2014/main" id="{6EB3972F-D01F-4B72-B25C-2042F8280AF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4792028"/>
          <a:ext cx="188595" cy="188595"/>
        </a:xfrm>
        <a:prstGeom prst="rect">
          <a:avLst/>
        </a:prstGeom>
      </xdr:spPr>
    </xdr:pic>
    <xdr:clientData/>
  </xdr:oneCellAnchor>
  <xdr:oneCellAnchor>
    <xdr:from>
      <xdr:col>0</xdr:col>
      <xdr:colOff>172403</xdr:colOff>
      <xdr:row>26</xdr:row>
      <xdr:rowOff>39053</xdr:rowOff>
    </xdr:from>
    <xdr:ext cx="188595" cy="188595"/>
    <xdr:pic>
      <xdr:nvPicPr>
        <xdr:cNvPr id="21" name="Graphic 20" descr="Web design with solid fill">
          <a:extLst>
            <a:ext uri="{FF2B5EF4-FFF2-40B4-BE49-F238E27FC236}">
              <a16:creationId xmlns:a16="http://schemas.microsoft.com/office/drawing/2014/main" id="{6088BDEE-99FB-4449-AF9B-3BF8668256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5477828"/>
          <a:ext cx="188595" cy="188595"/>
        </a:xfrm>
        <a:prstGeom prst="rect">
          <a:avLst/>
        </a:prstGeom>
      </xdr:spPr>
    </xdr:pic>
    <xdr:clientData/>
  </xdr:oneCellAnchor>
  <xdr:oneCellAnchor>
    <xdr:from>
      <xdr:col>0</xdr:col>
      <xdr:colOff>172403</xdr:colOff>
      <xdr:row>24</xdr:row>
      <xdr:rowOff>39053</xdr:rowOff>
    </xdr:from>
    <xdr:ext cx="188595" cy="188595"/>
    <xdr:pic>
      <xdr:nvPicPr>
        <xdr:cNvPr id="22" name="Graphic 21" descr="Web design with solid fill">
          <a:extLst>
            <a:ext uri="{FF2B5EF4-FFF2-40B4-BE49-F238E27FC236}">
              <a16:creationId xmlns:a16="http://schemas.microsoft.com/office/drawing/2014/main" id="{FA8E6B1C-F5A4-47D1-A499-D08734203CE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5020628"/>
          <a:ext cx="188595" cy="188595"/>
        </a:xfrm>
        <a:prstGeom prst="rect">
          <a:avLst/>
        </a:prstGeom>
      </xdr:spPr>
    </xdr:pic>
    <xdr:clientData/>
  </xdr:oneCellAnchor>
  <xdr:oneCellAnchor>
    <xdr:from>
      <xdr:col>0</xdr:col>
      <xdr:colOff>172403</xdr:colOff>
      <xdr:row>19</xdr:row>
      <xdr:rowOff>39053</xdr:rowOff>
    </xdr:from>
    <xdr:ext cx="188595" cy="188595"/>
    <xdr:pic>
      <xdr:nvPicPr>
        <xdr:cNvPr id="23" name="Graphic 22" descr="Web design with solid fill">
          <a:extLst>
            <a:ext uri="{FF2B5EF4-FFF2-40B4-BE49-F238E27FC236}">
              <a16:creationId xmlns:a16="http://schemas.microsoft.com/office/drawing/2014/main" id="{C562976F-1B9B-4BB1-99D7-FF5E2B69A0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3877628"/>
          <a:ext cx="188595" cy="188595"/>
        </a:xfrm>
        <a:prstGeom prst="rect">
          <a:avLst/>
        </a:prstGeom>
      </xdr:spPr>
    </xdr:pic>
    <xdr:clientData/>
  </xdr:oneCellAnchor>
  <xdr:twoCellAnchor editAs="absolute">
    <xdr:from>
      <xdr:col>0</xdr:col>
      <xdr:colOff>0</xdr:colOff>
      <xdr:row>8</xdr:row>
      <xdr:rowOff>57146</xdr:rowOff>
    </xdr:from>
    <xdr:to>
      <xdr:col>11</xdr:col>
      <xdr:colOff>380998</xdr:colOff>
      <xdr:row>56</xdr:row>
      <xdr:rowOff>152399</xdr:rowOff>
    </xdr:to>
    <xdr:sp macro="" textlink="">
      <xdr:nvSpPr>
        <xdr:cNvPr id="24" name="Moon 8">
          <a:extLst>
            <a:ext uri="{FF2B5EF4-FFF2-40B4-BE49-F238E27FC236}">
              <a16:creationId xmlns:a16="http://schemas.microsoft.com/office/drawing/2014/main" id="{D7E63B97-6608-4157-9FB7-F44C9258B20E}"/>
            </a:ext>
          </a:extLst>
        </xdr:cNvPr>
        <xdr:cNvSpPr/>
      </xdr:nvSpPr>
      <xdr:spPr>
        <a:xfrm rot="10800000">
          <a:off x="0" y="1504946"/>
          <a:ext cx="6857998" cy="9258303"/>
        </a:xfrm>
        <a:custGeom>
          <a:avLst/>
          <a:gdLst>
            <a:gd name="connsiteX0" fmla="*/ 942975 w 942975"/>
            <a:gd name="connsiteY0" fmla="*/ 1200150 h 1200150"/>
            <a:gd name="connsiteX1" fmla="*/ 0 w 942975"/>
            <a:gd name="connsiteY1" fmla="*/ 600075 h 1200150"/>
            <a:gd name="connsiteX2" fmla="*/ 942975 w 942975"/>
            <a:gd name="connsiteY2" fmla="*/ 0 h 1200150"/>
            <a:gd name="connsiteX3" fmla="*/ 942975 w 942975"/>
            <a:gd name="connsiteY3" fmla="*/ 1200150 h 1200150"/>
            <a:gd name="connsiteX0" fmla="*/ 914400 w 914400"/>
            <a:gd name="connsiteY0" fmla="*/ 1238742 h 1238742"/>
            <a:gd name="connsiteX1" fmla="*/ 0 w 914400"/>
            <a:gd name="connsiteY1" fmla="*/ 210042 h 1238742"/>
            <a:gd name="connsiteX2" fmla="*/ 914400 w 914400"/>
            <a:gd name="connsiteY2" fmla="*/ 38592 h 1238742"/>
            <a:gd name="connsiteX3" fmla="*/ 914400 w 914400"/>
            <a:gd name="connsiteY3" fmla="*/ 1238742 h 1238742"/>
            <a:gd name="connsiteX0" fmla="*/ 914400 w 914400"/>
            <a:gd name="connsiteY0" fmla="*/ 1200150 h 1200150"/>
            <a:gd name="connsiteX1" fmla="*/ 0 w 914400"/>
            <a:gd name="connsiteY1" fmla="*/ 171450 h 1200150"/>
            <a:gd name="connsiteX2" fmla="*/ 914400 w 914400"/>
            <a:gd name="connsiteY2" fmla="*/ 0 h 1200150"/>
            <a:gd name="connsiteX3" fmla="*/ 914400 w 914400"/>
            <a:gd name="connsiteY3" fmla="*/ 1200150 h 1200150"/>
            <a:gd name="connsiteX0" fmla="*/ 933450 w 933450"/>
            <a:gd name="connsiteY0" fmla="*/ 1253284 h 1253284"/>
            <a:gd name="connsiteX1" fmla="*/ 0 w 933450"/>
            <a:gd name="connsiteY1" fmla="*/ 72184 h 1253284"/>
            <a:gd name="connsiteX2" fmla="*/ 933450 w 933450"/>
            <a:gd name="connsiteY2" fmla="*/ 53134 h 1253284"/>
            <a:gd name="connsiteX3" fmla="*/ 933450 w 933450"/>
            <a:gd name="connsiteY3" fmla="*/ 1253284 h 1253284"/>
            <a:gd name="connsiteX0" fmla="*/ 933450 w 933450"/>
            <a:gd name="connsiteY0" fmla="*/ 1201143 h 1201143"/>
            <a:gd name="connsiteX1" fmla="*/ 0 w 933450"/>
            <a:gd name="connsiteY1" fmla="*/ 20043 h 1201143"/>
            <a:gd name="connsiteX2" fmla="*/ 933450 w 933450"/>
            <a:gd name="connsiteY2" fmla="*/ 993 h 1201143"/>
            <a:gd name="connsiteX3" fmla="*/ 933450 w 933450"/>
            <a:gd name="connsiteY3" fmla="*/ 1201143 h 1201143"/>
            <a:gd name="connsiteX0" fmla="*/ 262139 w 1090814"/>
            <a:gd name="connsiteY0" fmla="*/ 1258293 h 1258293"/>
            <a:gd name="connsiteX1" fmla="*/ 157364 w 1090814"/>
            <a:gd name="connsiteY1" fmla="*/ 20043 h 1258293"/>
            <a:gd name="connsiteX2" fmla="*/ 1090814 w 1090814"/>
            <a:gd name="connsiteY2" fmla="*/ 993 h 1258293"/>
            <a:gd name="connsiteX3" fmla="*/ 262139 w 1090814"/>
            <a:gd name="connsiteY3" fmla="*/ 1258293 h 1258293"/>
            <a:gd name="connsiteX0" fmla="*/ 262139 w 1090818"/>
            <a:gd name="connsiteY0" fmla="*/ 1258293 h 1272507"/>
            <a:gd name="connsiteX1" fmla="*/ 157364 w 1090818"/>
            <a:gd name="connsiteY1" fmla="*/ 20043 h 1272507"/>
            <a:gd name="connsiteX2" fmla="*/ 1090814 w 1090818"/>
            <a:gd name="connsiteY2" fmla="*/ 993 h 1272507"/>
            <a:gd name="connsiteX3" fmla="*/ 538363 w 1090818"/>
            <a:gd name="connsiteY3" fmla="*/ 505818 h 1272507"/>
            <a:gd name="connsiteX4" fmla="*/ 262139 w 1090818"/>
            <a:gd name="connsiteY4"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04775 w 933454"/>
            <a:gd name="connsiteY0" fmla="*/ 1258293 h 1272507"/>
            <a:gd name="connsiteX1" fmla="*/ 114299 w 933454"/>
            <a:gd name="connsiteY1" fmla="*/ 705843 h 1272507"/>
            <a:gd name="connsiteX2" fmla="*/ 0 w 933454"/>
            <a:gd name="connsiteY2" fmla="*/ 20043 h 1272507"/>
            <a:gd name="connsiteX3" fmla="*/ 933450 w 933454"/>
            <a:gd name="connsiteY3" fmla="*/ 993 h 1272507"/>
            <a:gd name="connsiteX4" fmla="*/ 380999 w 933454"/>
            <a:gd name="connsiteY4" fmla="*/ 505818 h 1272507"/>
            <a:gd name="connsiteX5" fmla="*/ 104775 w 933454"/>
            <a:gd name="connsiteY5" fmla="*/ 1258293 h 1272507"/>
            <a:gd name="connsiteX0" fmla="*/ 155750 w 984429"/>
            <a:gd name="connsiteY0" fmla="*/ 1258293 h 1272507"/>
            <a:gd name="connsiteX1" fmla="*/ 50975 w 984429"/>
            <a:gd name="connsiteY1" fmla="*/ 20043 h 1272507"/>
            <a:gd name="connsiteX2" fmla="*/ 984425 w 984429"/>
            <a:gd name="connsiteY2" fmla="*/ 993 h 1272507"/>
            <a:gd name="connsiteX3" fmla="*/ 431974 w 984429"/>
            <a:gd name="connsiteY3" fmla="*/ 505818 h 1272507"/>
            <a:gd name="connsiteX4" fmla="*/ 155750 w 984429"/>
            <a:gd name="connsiteY4" fmla="*/ 1258293 h 1272507"/>
            <a:gd name="connsiteX0" fmla="*/ 104775 w 933454"/>
            <a:gd name="connsiteY0" fmla="*/ 1258293 h 1272507"/>
            <a:gd name="connsiteX1" fmla="*/ 0 w 933454"/>
            <a:gd name="connsiteY1" fmla="*/ 20043 h 1272507"/>
            <a:gd name="connsiteX2" fmla="*/ 933450 w 933454"/>
            <a:gd name="connsiteY2" fmla="*/ 993 h 1272507"/>
            <a:gd name="connsiteX3" fmla="*/ 380999 w 933454"/>
            <a:gd name="connsiteY3" fmla="*/ 505818 h 1272507"/>
            <a:gd name="connsiteX4" fmla="*/ 104775 w 933454"/>
            <a:gd name="connsiteY4" fmla="*/ 1258293 h 1272507"/>
            <a:gd name="connsiteX0" fmla="*/ 104775 w 933454"/>
            <a:gd name="connsiteY0" fmla="*/ 1257300 h 1271514"/>
            <a:gd name="connsiteX1" fmla="*/ 0 w 933454"/>
            <a:gd name="connsiteY1" fmla="*/ 19050 h 1271514"/>
            <a:gd name="connsiteX2" fmla="*/ 933450 w 933454"/>
            <a:gd name="connsiteY2" fmla="*/ 0 h 1271514"/>
            <a:gd name="connsiteX3" fmla="*/ 380999 w 933454"/>
            <a:gd name="connsiteY3" fmla="*/ 504825 h 1271514"/>
            <a:gd name="connsiteX4" fmla="*/ 104775 w 933454"/>
            <a:gd name="connsiteY4" fmla="*/ 1257300 h 1271514"/>
            <a:gd name="connsiteX0" fmla="*/ 106468 w 935147"/>
            <a:gd name="connsiteY0" fmla="*/ 1257301 h 1271515"/>
            <a:gd name="connsiteX1" fmla="*/ 0 w 935147"/>
            <a:gd name="connsiteY1" fmla="*/ 0 h 1271515"/>
            <a:gd name="connsiteX2" fmla="*/ 935143 w 935147"/>
            <a:gd name="connsiteY2" fmla="*/ 1 h 1271515"/>
            <a:gd name="connsiteX3" fmla="*/ 382692 w 935147"/>
            <a:gd name="connsiteY3" fmla="*/ 504826 h 1271515"/>
            <a:gd name="connsiteX4" fmla="*/ 106468 w 935147"/>
            <a:gd name="connsiteY4" fmla="*/ 1257301 h 1271515"/>
            <a:gd name="connsiteX0" fmla="*/ 0 w 935147"/>
            <a:gd name="connsiteY0" fmla="*/ 3310736 h 3314537"/>
            <a:gd name="connsiteX1" fmla="*/ 0 w 935147"/>
            <a:gd name="connsiteY1" fmla="*/ 0 h 3314537"/>
            <a:gd name="connsiteX2" fmla="*/ 935143 w 935147"/>
            <a:gd name="connsiteY2" fmla="*/ 1 h 3314537"/>
            <a:gd name="connsiteX3" fmla="*/ 382692 w 935147"/>
            <a:gd name="connsiteY3" fmla="*/ 504826 h 3314537"/>
            <a:gd name="connsiteX4" fmla="*/ 0 w 935147"/>
            <a:gd name="connsiteY4" fmla="*/ 3310736 h 3314537"/>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42874"/>
            <a:gd name="connsiteY0" fmla="*/ 3310736 h 3365354"/>
            <a:gd name="connsiteX1" fmla="*/ 0 w 942874"/>
            <a:gd name="connsiteY1" fmla="*/ 0 h 3365354"/>
            <a:gd name="connsiteX2" fmla="*/ 935143 w 942874"/>
            <a:gd name="connsiteY2" fmla="*/ 1 h 3365354"/>
            <a:gd name="connsiteX3" fmla="*/ 335433 w 942874"/>
            <a:gd name="connsiteY3" fmla="*/ 1679359 h 3365354"/>
            <a:gd name="connsiteX4" fmla="*/ 0 w 942874"/>
            <a:gd name="connsiteY4" fmla="*/ 3310736 h 3365354"/>
            <a:gd name="connsiteX0" fmla="*/ 0 w 939483"/>
            <a:gd name="connsiteY0" fmla="*/ 3310736 h 3365354"/>
            <a:gd name="connsiteX1" fmla="*/ 0 w 939483"/>
            <a:gd name="connsiteY1" fmla="*/ 0 h 3365354"/>
            <a:gd name="connsiteX2" fmla="*/ 935143 w 939483"/>
            <a:gd name="connsiteY2" fmla="*/ 1 h 3365354"/>
            <a:gd name="connsiteX3" fmla="*/ 335433 w 939483"/>
            <a:gd name="connsiteY3" fmla="*/ 1679359 h 3365354"/>
            <a:gd name="connsiteX4" fmla="*/ 0 w 939483"/>
            <a:gd name="connsiteY4" fmla="*/ 3310736 h 3365354"/>
            <a:gd name="connsiteX0" fmla="*/ 0 w 939483"/>
            <a:gd name="connsiteY0" fmla="*/ 3310736 h 3310736"/>
            <a:gd name="connsiteX1" fmla="*/ 0 w 939483"/>
            <a:gd name="connsiteY1" fmla="*/ 0 h 3310736"/>
            <a:gd name="connsiteX2" fmla="*/ 935143 w 939483"/>
            <a:gd name="connsiteY2" fmla="*/ 1 h 3310736"/>
            <a:gd name="connsiteX3" fmla="*/ 335433 w 939483"/>
            <a:gd name="connsiteY3" fmla="*/ 1679359 h 3310736"/>
            <a:gd name="connsiteX4" fmla="*/ 0 w 93948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335433 w 935143"/>
            <a:gd name="connsiteY3" fmla="*/ 1679359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9206"/>
            <a:gd name="connsiteY0" fmla="*/ 3310736 h 3310736"/>
            <a:gd name="connsiteX1" fmla="*/ 0 w 939206"/>
            <a:gd name="connsiteY1" fmla="*/ 0 h 3310736"/>
            <a:gd name="connsiteX2" fmla="*/ 935143 w 939206"/>
            <a:gd name="connsiteY2" fmla="*/ 1 h 3310736"/>
            <a:gd name="connsiteX3" fmla="*/ 291387 w 939206"/>
            <a:gd name="connsiteY3" fmla="*/ 1463441 h 3310736"/>
            <a:gd name="connsiteX4" fmla="*/ 0 w 939206"/>
            <a:gd name="connsiteY4" fmla="*/ 3310736 h 3310736"/>
            <a:gd name="connsiteX0" fmla="*/ 0 w 940716"/>
            <a:gd name="connsiteY0" fmla="*/ 3310736 h 3310736"/>
            <a:gd name="connsiteX1" fmla="*/ 0 w 940716"/>
            <a:gd name="connsiteY1" fmla="*/ 0 h 3310736"/>
            <a:gd name="connsiteX2" fmla="*/ 935143 w 940716"/>
            <a:gd name="connsiteY2" fmla="*/ 1 h 3310736"/>
            <a:gd name="connsiteX3" fmla="*/ 291387 w 940716"/>
            <a:gd name="connsiteY3" fmla="*/ 1463441 h 3310736"/>
            <a:gd name="connsiteX4" fmla="*/ 0 w 940716"/>
            <a:gd name="connsiteY4" fmla="*/ 3310736 h 3310736"/>
            <a:gd name="connsiteX0" fmla="*/ 0 w 941081"/>
            <a:gd name="connsiteY0" fmla="*/ 3310736 h 3310736"/>
            <a:gd name="connsiteX1" fmla="*/ 0 w 941081"/>
            <a:gd name="connsiteY1" fmla="*/ 0 h 3310736"/>
            <a:gd name="connsiteX2" fmla="*/ 935143 w 941081"/>
            <a:gd name="connsiteY2" fmla="*/ 1 h 3310736"/>
            <a:gd name="connsiteX3" fmla="*/ 311716 w 941081"/>
            <a:gd name="connsiteY3" fmla="*/ 1239527 h 3310736"/>
            <a:gd name="connsiteX4" fmla="*/ 0 w 941081"/>
            <a:gd name="connsiteY4" fmla="*/ 3310736 h 3310736"/>
            <a:gd name="connsiteX0" fmla="*/ 0 w 940811"/>
            <a:gd name="connsiteY0" fmla="*/ 3310736 h 3310736"/>
            <a:gd name="connsiteX1" fmla="*/ 0 w 940811"/>
            <a:gd name="connsiteY1" fmla="*/ 0 h 3310736"/>
            <a:gd name="connsiteX2" fmla="*/ 935143 w 940811"/>
            <a:gd name="connsiteY2" fmla="*/ 1 h 3310736"/>
            <a:gd name="connsiteX3" fmla="*/ 311716 w 940811"/>
            <a:gd name="connsiteY3" fmla="*/ 1239527 h 3310736"/>
            <a:gd name="connsiteX4" fmla="*/ 0 w 940811"/>
            <a:gd name="connsiteY4" fmla="*/ 3310736 h 3310736"/>
            <a:gd name="connsiteX0" fmla="*/ 0 w 939594"/>
            <a:gd name="connsiteY0" fmla="*/ 3310736 h 3310736"/>
            <a:gd name="connsiteX1" fmla="*/ 0 w 939594"/>
            <a:gd name="connsiteY1" fmla="*/ 0 h 3310736"/>
            <a:gd name="connsiteX2" fmla="*/ 935143 w 939594"/>
            <a:gd name="connsiteY2" fmla="*/ 1 h 3310736"/>
            <a:gd name="connsiteX3" fmla="*/ 311716 w 939594"/>
            <a:gd name="connsiteY3" fmla="*/ 1239527 h 3310736"/>
            <a:gd name="connsiteX4" fmla="*/ 0 w 939594"/>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2184 w 941356"/>
            <a:gd name="connsiteY0" fmla="*/ 3310736 h 3688713"/>
            <a:gd name="connsiteX1" fmla="*/ 2184 w 941356"/>
            <a:gd name="connsiteY1" fmla="*/ 0 h 3688713"/>
            <a:gd name="connsiteX2" fmla="*/ 937327 w 941356"/>
            <a:gd name="connsiteY2" fmla="*/ 1 h 3688713"/>
            <a:gd name="connsiteX3" fmla="*/ 271547 w 941356"/>
            <a:gd name="connsiteY3" fmla="*/ 1327493 h 3688713"/>
            <a:gd name="connsiteX4" fmla="*/ 2184 w 941356"/>
            <a:gd name="connsiteY4" fmla="*/ 3310736 h 3688713"/>
            <a:gd name="connsiteX0" fmla="*/ 2184 w 939902"/>
            <a:gd name="connsiteY0" fmla="*/ 3612860 h 3990837"/>
            <a:gd name="connsiteX1" fmla="*/ 2184 w 939902"/>
            <a:gd name="connsiteY1" fmla="*/ 302124 h 3990837"/>
            <a:gd name="connsiteX2" fmla="*/ 937327 w 939902"/>
            <a:gd name="connsiteY2" fmla="*/ 302125 h 3990837"/>
            <a:gd name="connsiteX3" fmla="*/ 271547 w 939902"/>
            <a:gd name="connsiteY3" fmla="*/ 1629617 h 3990837"/>
            <a:gd name="connsiteX4" fmla="*/ 2184 w 939902"/>
            <a:gd name="connsiteY4" fmla="*/ 3612860 h 3990837"/>
            <a:gd name="connsiteX0" fmla="*/ 2184 w 939902"/>
            <a:gd name="connsiteY0" fmla="*/ 3310736 h 3688713"/>
            <a:gd name="connsiteX1" fmla="*/ 2184 w 939902"/>
            <a:gd name="connsiteY1" fmla="*/ 0 h 3688713"/>
            <a:gd name="connsiteX2" fmla="*/ 937327 w 939902"/>
            <a:gd name="connsiteY2" fmla="*/ 1 h 3688713"/>
            <a:gd name="connsiteX3" fmla="*/ 271547 w 939902"/>
            <a:gd name="connsiteY3" fmla="*/ 1327493 h 3688713"/>
            <a:gd name="connsiteX4" fmla="*/ 2184 w 939902"/>
            <a:gd name="connsiteY4" fmla="*/ 3310736 h 3688713"/>
            <a:gd name="connsiteX0" fmla="*/ 2184 w 941752"/>
            <a:gd name="connsiteY0" fmla="*/ 3310741 h 3688718"/>
            <a:gd name="connsiteX1" fmla="*/ 2184 w 941752"/>
            <a:gd name="connsiteY1" fmla="*/ 5 h 3688718"/>
            <a:gd name="connsiteX2" fmla="*/ 937327 w 941752"/>
            <a:gd name="connsiteY2" fmla="*/ 6 h 3688718"/>
            <a:gd name="connsiteX3" fmla="*/ 271547 w 941752"/>
            <a:gd name="connsiteY3" fmla="*/ 1327498 h 3688718"/>
            <a:gd name="connsiteX4" fmla="*/ 2184 w 941752"/>
            <a:gd name="connsiteY4" fmla="*/ 3310741 h 3688718"/>
            <a:gd name="connsiteX0" fmla="*/ 2869 w 942437"/>
            <a:gd name="connsiteY0" fmla="*/ 3310741 h 3332727"/>
            <a:gd name="connsiteX1" fmla="*/ 2869 w 942437"/>
            <a:gd name="connsiteY1" fmla="*/ 5 h 3332727"/>
            <a:gd name="connsiteX2" fmla="*/ 938012 w 942437"/>
            <a:gd name="connsiteY2" fmla="*/ 6 h 3332727"/>
            <a:gd name="connsiteX3" fmla="*/ 272232 w 942437"/>
            <a:gd name="connsiteY3" fmla="*/ 1327498 h 3332727"/>
            <a:gd name="connsiteX4" fmla="*/ 2869 w 942437"/>
            <a:gd name="connsiteY4" fmla="*/ 3310741 h 3332727"/>
            <a:gd name="connsiteX0" fmla="*/ 24846 w 964329"/>
            <a:gd name="connsiteY0" fmla="*/ 3401367 h 3435362"/>
            <a:gd name="connsiteX1" fmla="*/ 24846 w 964329"/>
            <a:gd name="connsiteY1" fmla="*/ 90631 h 3435362"/>
            <a:gd name="connsiteX2" fmla="*/ 959989 w 964329"/>
            <a:gd name="connsiteY2" fmla="*/ 90632 h 3435362"/>
            <a:gd name="connsiteX3" fmla="*/ 360279 w 964329"/>
            <a:gd name="connsiteY3" fmla="*/ 1314164 h 3435362"/>
            <a:gd name="connsiteX4" fmla="*/ 24846 w 964329"/>
            <a:gd name="connsiteY4" fmla="*/ 3401367 h 3435362"/>
            <a:gd name="connsiteX0" fmla="*/ 0 w 939483"/>
            <a:gd name="connsiteY0" fmla="*/ 3401367 h 3435362"/>
            <a:gd name="connsiteX1" fmla="*/ 0 w 939483"/>
            <a:gd name="connsiteY1" fmla="*/ 90631 h 3435362"/>
            <a:gd name="connsiteX2" fmla="*/ 935143 w 939483"/>
            <a:gd name="connsiteY2" fmla="*/ 90632 h 3435362"/>
            <a:gd name="connsiteX3" fmla="*/ 335433 w 939483"/>
            <a:gd name="connsiteY3" fmla="*/ 1314164 h 3435362"/>
            <a:gd name="connsiteX4" fmla="*/ 0 w 939483"/>
            <a:gd name="connsiteY4" fmla="*/ 3401367 h 3435362"/>
            <a:gd name="connsiteX0" fmla="*/ 78 w 939561"/>
            <a:gd name="connsiteY0" fmla="*/ 3401367 h 3455659"/>
            <a:gd name="connsiteX1" fmla="*/ 78 w 939561"/>
            <a:gd name="connsiteY1" fmla="*/ 90631 h 3455659"/>
            <a:gd name="connsiteX2" fmla="*/ 935221 w 939561"/>
            <a:gd name="connsiteY2" fmla="*/ 90632 h 3455659"/>
            <a:gd name="connsiteX3" fmla="*/ 335511 w 939561"/>
            <a:gd name="connsiteY3" fmla="*/ 1314164 h 3455659"/>
            <a:gd name="connsiteX4" fmla="*/ 78 w 939561"/>
            <a:gd name="connsiteY4" fmla="*/ 3401367 h 3455659"/>
            <a:gd name="connsiteX0" fmla="*/ 78 w 939561"/>
            <a:gd name="connsiteY0" fmla="*/ 3310736 h 3365028"/>
            <a:gd name="connsiteX1" fmla="*/ 78 w 939561"/>
            <a:gd name="connsiteY1" fmla="*/ 0 h 3365028"/>
            <a:gd name="connsiteX2" fmla="*/ 935221 w 939561"/>
            <a:gd name="connsiteY2" fmla="*/ 1 h 3365028"/>
            <a:gd name="connsiteX3" fmla="*/ 335511 w 939561"/>
            <a:gd name="connsiteY3" fmla="*/ 1223533 h 3365028"/>
            <a:gd name="connsiteX4" fmla="*/ 78 w 939561"/>
            <a:gd name="connsiteY4" fmla="*/ 3310736 h 3365028"/>
            <a:gd name="connsiteX0" fmla="*/ 78 w 938432"/>
            <a:gd name="connsiteY0" fmla="*/ 3310752 h 3365044"/>
            <a:gd name="connsiteX1" fmla="*/ 78 w 938432"/>
            <a:gd name="connsiteY1" fmla="*/ 16 h 3365044"/>
            <a:gd name="connsiteX2" fmla="*/ 935221 w 938432"/>
            <a:gd name="connsiteY2" fmla="*/ 17 h 3365044"/>
            <a:gd name="connsiteX3" fmla="*/ 335511 w 938432"/>
            <a:gd name="connsiteY3" fmla="*/ 1223549 h 3365044"/>
            <a:gd name="connsiteX4" fmla="*/ 78 w 938432"/>
            <a:gd name="connsiteY4" fmla="*/ 3310752 h 3365044"/>
            <a:gd name="connsiteX0" fmla="*/ 37 w 938611"/>
            <a:gd name="connsiteY0" fmla="*/ 3310752 h 3367422"/>
            <a:gd name="connsiteX1" fmla="*/ 37 w 938611"/>
            <a:gd name="connsiteY1" fmla="*/ 16 h 3367422"/>
            <a:gd name="connsiteX2" fmla="*/ 935180 w 938611"/>
            <a:gd name="connsiteY2" fmla="*/ 17 h 3367422"/>
            <a:gd name="connsiteX3" fmla="*/ 369352 w 938611"/>
            <a:gd name="connsiteY3" fmla="*/ 1271531 h 3367422"/>
            <a:gd name="connsiteX4" fmla="*/ 37 w 938611"/>
            <a:gd name="connsiteY4" fmla="*/ 3310752 h 3367422"/>
            <a:gd name="connsiteX0" fmla="*/ 13 w 938874"/>
            <a:gd name="connsiteY0" fmla="*/ 3310755 h 3342063"/>
            <a:gd name="connsiteX1" fmla="*/ 13 w 938874"/>
            <a:gd name="connsiteY1" fmla="*/ 19 h 3342063"/>
            <a:gd name="connsiteX2" fmla="*/ 935156 w 938874"/>
            <a:gd name="connsiteY2" fmla="*/ 20 h 3342063"/>
            <a:gd name="connsiteX3" fmla="*/ 369328 w 938874"/>
            <a:gd name="connsiteY3" fmla="*/ 1271534 h 3342063"/>
            <a:gd name="connsiteX4" fmla="*/ 13 w 938874"/>
            <a:gd name="connsiteY4" fmla="*/ 3310755 h 3342063"/>
            <a:gd name="connsiteX0" fmla="*/ 23 w 939744"/>
            <a:gd name="connsiteY0" fmla="*/ 3310816 h 3351420"/>
            <a:gd name="connsiteX1" fmla="*/ 23 w 939744"/>
            <a:gd name="connsiteY1" fmla="*/ 80 h 3351420"/>
            <a:gd name="connsiteX2" fmla="*/ 935166 w 939744"/>
            <a:gd name="connsiteY2" fmla="*/ 81 h 3351420"/>
            <a:gd name="connsiteX3" fmla="*/ 369338 w 939744"/>
            <a:gd name="connsiteY3" fmla="*/ 1271595 h 3351420"/>
            <a:gd name="connsiteX4" fmla="*/ 23 w 939744"/>
            <a:gd name="connsiteY4" fmla="*/ 3310816 h 3351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39744" h="3351420">
              <a:moveTo>
                <a:pt x="23" y="3310816"/>
              </a:moveTo>
              <a:lnTo>
                <a:pt x="23" y="80"/>
              </a:lnTo>
              <a:lnTo>
                <a:pt x="935166" y="81"/>
              </a:lnTo>
              <a:cubicBezTo>
                <a:pt x="982601" y="-3917"/>
                <a:pt x="652252" y="136029"/>
                <a:pt x="369338" y="1271595"/>
              </a:cubicBezTo>
              <a:cubicBezTo>
                <a:pt x="86424" y="2407161"/>
                <a:pt x="-1672" y="3586711"/>
                <a:pt x="23" y="3310816"/>
              </a:cubicBezTo>
              <a:close/>
            </a:path>
          </a:pathLst>
        </a:custGeom>
        <a:solidFill>
          <a:schemeClr val="accent5">
            <a:lumMod val="60000"/>
            <a:lumOff val="40000"/>
            <a:alpha val="2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oneCellAnchor>
    <xdr:from>
      <xdr:col>0</xdr:col>
      <xdr:colOff>172403</xdr:colOff>
      <xdr:row>21</xdr:row>
      <xdr:rowOff>39053</xdr:rowOff>
    </xdr:from>
    <xdr:ext cx="188595" cy="188595"/>
    <xdr:pic>
      <xdr:nvPicPr>
        <xdr:cNvPr id="25" name="Graphic 24" descr="Web design with solid fill">
          <a:extLst>
            <a:ext uri="{FF2B5EF4-FFF2-40B4-BE49-F238E27FC236}">
              <a16:creationId xmlns:a16="http://schemas.microsoft.com/office/drawing/2014/main" id="{1FF164D4-930E-4DBA-B3FA-4089F6E9AF7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4334828"/>
          <a:ext cx="188595" cy="188595"/>
        </a:xfrm>
        <a:prstGeom prst="rect">
          <a:avLst/>
        </a:prstGeom>
      </xdr:spPr>
    </xdr:pic>
    <xdr:clientData/>
  </xdr:oneCellAnchor>
  <xdr:twoCellAnchor>
    <xdr:from>
      <xdr:col>5</xdr:col>
      <xdr:colOff>285750</xdr:colOff>
      <xdr:row>28</xdr:row>
      <xdr:rowOff>57150</xdr:rowOff>
    </xdr:from>
    <xdr:to>
      <xdr:col>5</xdr:col>
      <xdr:colOff>285750</xdr:colOff>
      <xdr:row>36</xdr:row>
      <xdr:rowOff>85725</xdr:rowOff>
    </xdr:to>
    <xdr:cxnSp macro="">
      <xdr:nvCxnSpPr>
        <xdr:cNvPr id="26" name="Straight Connector 25">
          <a:extLst>
            <a:ext uri="{FF2B5EF4-FFF2-40B4-BE49-F238E27FC236}">
              <a16:creationId xmlns:a16="http://schemas.microsoft.com/office/drawing/2014/main" id="{8520E314-9A98-4D71-BBC0-87591797A038}"/>
            </a:ext>
          </a:extLst>
        </xdr:cNvPr>
        <xdr:cNvCxnSpPr/>
      </xdr:nvCxnSpPr>
      <xdr:spPr>
        <a:xfrm>
          <a:off x="3105150" y="5848350"/>
          <a:ext cx="0" cy="163830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172403</xdr:colOff>
      <xdr:row>22</xdr:row>
      <xdr:rowOff>39053</xdr:rowOff>
    </xdr:from>
    <xdr:ext cx="188595" cy="188595"/>
    <xdr:pic>
      <xdr:nvPicPr>
        <xdr:cNvPr id="27" name="Graphic 26" descr="Web design with solid fill">
          <a:extLst>
            <a:ext uri="{FF2B5EF4-FFF2-40B4-BE49-F238E27FC236}">
              <a16:creationId xmlns:a16="http://schemas.microsoft.com/office/drawing/2014/main" id="{6EECB7BE-D2A3-4A67-86AF-FC9251E0424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4563428"/>
          <a:ext cx="188595" cy="188595"/>
        </a:xfrm>
        <a:prstGeom prst="rect">
          <a:avLst/>
        </a:prstGeom>
      </xdr:spPr>
    </xdr:pic>
    <xdr:clientData/>
  </xdr:oneCellAnchor>
  <xdr:oneCellAnchor>
    <xdr:from>
      <xdr:col>0</xdr:col>
      <xdr:colOff>172403</xdr:colOff>
      <xdr:row>20</xdr:row>
      <xdr:rowOff>39053</xdr:rowOff>
    </xdr:from>
    <xdr:ext cx="188595" cy="188595"/>
    <xdr:pic>
      <xdr:nvPicPr>
        <xdr:cNvPr id="28" name="Graphic 27" descr="Web design with solid fill">
          <a:extLst>
            <a:ext uri="{FF2B5EF4-FFF2-40B4-BE49-F238E27FC236}">
              <a16:creationId xmlns:a16="http://schemas.microsoft.com/office/drawing/2014/main" id="{040E9E1B-A5A7-47E4-8084-CD66BA5E4E5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H="1">
          <a:off x="172403" y="4106228"/>
          <a:ext cx="188595" cy="188595"/>
        </a:xfrm>
        <a:prstGeom prst="rect">
          <a:avLst/>
        </a:prstGeom>
      </xdr:spPr>
    </xdr:pic>
    <xdr:clientData/>
  </xdr:oneCellAnchor>
  <xdr:oneCellAnchor>
    <xdr:from>
      <xdr:col>2</xdr:col>
      <xdr:colOff>420075</xdr:colOff>
      <xdr:row>43</xdr:row>
      <xdr:rowOff>28575</xdr:rowOff>
    </xdr:from>
    <xdr:ext cx="180000" cy="180000"/>
    <xdr:pic>
      <xdr:nvPicPr>
        <xdr:cNvPr id="29" name="Graphic 28" descr="Factory with solid fill">
          <a:extLst>
            <a:ext uri="{FF2B5EF4-FFF2-40B4-BE49-F238E27FC236}">
              <a16:creationId xmlns:a16="http://schemas.microsoft.com/office/drawing/2014/main" id="{2BA9A4FB-ADFA-41DE-A09A-6F9FFC5ACF1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10675" y="8324850"/>
          <a:ext cx="180000" cy="180000"/>
        </a:xfrm>
        <a:prstGeom prst="rect">
          <a:avLst/>
        </a:prstGeom>
      </xdr:spPr>
    </xdr:pic>
    <xdr:clientData/>
  </xdr:oneCellAnchor>
  <xdr:oneCellAnchor>
    <xdr:from>
      <xdr:col>2</xdr:col>
      <xdr:colOff>420075</xdr:colOff>
      <xdr:row>41</xdr:row>
      <xdr:rowOff>38100</xdr:rowOff>
    </xdr:from>
    <xdr:ext cx="180000" cy="180000"/>
    <xdr:pic>
      <xdr:nvPicPr>
        <xdr:cNvPr id="30" name="Graphic 29" descr="Factory with solid fill">
          <a:extLst>
            <a:ext uri="{FF2B5EF4-FFF2-40B4-BE49-F238E27FC236}">
              <a16:creationId xmlns:a16="http://schemas.microsoft.com/office/drawing/2014/main" id="{23993F7A-C2AF-4009-B1B3-BBA6F402966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410675" y="7915275"/>
          <a:ext cx="180000" cy="180000"/>
        </a:xfrm>
        <a:prstGeom prst="rect">
          <a:avLst/>
        </a:prstGeom>
      </xdr:spPr>
    </xdr:pic>
    <xdr:clientData/>
  </xdr:oneCellAnchor>
  <xdr:oneCellAnchor>
    <xdr:from>
      <xdr:col>7</xdr:col>
      <xdr:colOff>401025</xdr:colOff>
      <xdr:row>5</xdr:row>
      <xdr:rowOff>10500</xdr:rowOff>
    </xdr:from>
    <xdr:ext cx="180000" cy="180000"/>
    <xdr:pic>
      <xdr:nvPicPr>
        <xdr:cNvPr id="33" name="Graphic 32" descr="Receiver with solid fill">
          <a:extLst>
            <a:ext uri="{FF2B5EF4-FFF2-40B4-BE49-F238E27FC236}">
              <a16:creationId xmlns:a16="http://schemas.microsoft.com/office/drawing/2014/main" id="{52779967-04C9-4F0F-BDB2-9086DA97924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049225" y="677250"/>
          <a:ext cx="180000" cy="180000"/>
        </a:xfrm>
        <a:prstGeom prst="rect">
          <a:avLst/>
        </a:prstGeom>
      </xdr:spPr>
    </xdr:pic>
    <xdr:clientData/>
  </xdr:oneCellAnchor>
  <xdr:oneCellAnchor>
    <xdr:from>
      <xdr:col>7</xdr:col>
      <xdr:colOff>410550</xdr:colOff>
      <xdr:row>6</xdr:row>
      <xdr:rowOff>20025</xdr:rowOff>
    </xdr:from>
    <xdr:ext cx="180000" cy="180000"/>
    <xdr:pic>
      <xdr:nvPicPr>
        <xdr:cNvPr id="34" name="Graphic 33" descr="Email with solid fill">
          <a:extLst>
            <a:ext uri="{FF2B5EF4-FFF2-40B4-BE49-F238E27FC236}">
              <a16:creationId xmlns:a16="http://schemas.microsoft.com/office/drawing/2014/main" id="{B7AD71A9-096C-4328-B511-4760E7BCB99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058750" y="877275"/>
          <a:ext cx="180000" cy="180000"/>
        </a:xfrm>
        <a:prstGeom prst="rect">
          <a:avLst/>
        </a:prstGeom>
      </xdr:spPr>
    </xdr:pic>
    <xdr:clientData/>
  </xdr:oneCellAnchor>
  <xdr:twoCellAnchor>
    <xdr:from>
      <xdr:col>1</xdr:col>
      <xdr:colOff>0</xdr:colOff>
      <xdr:row>9</xdr:row>
      <xdr:rowOff>0</xdr:rowOff>
    </xdr:from>
    <xdr:to>
      <xdr:col>1</xdr:col>
      <xdr:colOff>0</xdr:colOff>
      <xdr:row>13</xdr:row>
      <xdr:rowOff>9525</xdr:rowOff>
    </xdr:to>
    <xdr:cxnSp macro="">
      <xdr:nvCxnSpPr>
        <xdr:cNvPr id="35" name="Straight Connector 34">
          <a:extLst>
            <a:ext uri="{FF2B5EF4-FFF2-40B4-BE49-F238E27FC236}">
              <a16:creationId xmlns:a16="http://schemas.microsoft.com/office/drawing/2014/main" id="{7D73955A-1C9B-498B-AC0A-96EABBB79266}"/>
            </a:ext>
          </a:extLst>
        </xdr:cNvPr>
        <xdr:cNvCxnSpPr/>
      </xdr:nvCxnSpPr>
      <xdr:spPr>
        <a:xfrm>
          <a:off x="381000" y="1571625"/>
          <a:ext cx="0" cy="809625"/>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0</xdr:rowOff>
    </xdr:from>
    <xdr:to>
      <xdr:col>1</xdr:col>
      <xdr:colOff>0</xdr:colOff>
      <xdr:row>16</xdr:row>
      <xdr:rowOff>0</xdr:rowOff>
    </xdr:to>
    <xdr:cxnSp macro="">
      <xdr:nvCxnSpPr>
        <xdr:cNvPr id="41" name="Straight Connector 40">
          <a:extLst>
            <a:ext uri="{FF2B5EF4-FFF2-40B4-BE49-F238E27FC236}">
              <a16:creationId xmlns:a16="http://schemas.microsoft.com/office/drawing/2014/main" id="{02B1C213-20F2-4C0A-8D48-E7E16256362F}"/>
            </a:ext>
          </a:extLst>
        </xdr:cNvPr>
        <xdr:cNvCxnSpPr/>
      </xdr:nvCxnSpPr>
      <xdr:spPr>
        <a:xfrm>
          <a:off x="381000" y="2466975"/>
          <a:ext cx="0" cy="41910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18</xdr:row>
      <xdr:rowOff>0</xdr:rowOff>
    </xdr:from>
    <xdr:to>
      <xdr:col>12</xdr:col>
      <xdr:colOff>0</xdr:colOff>
      <xdr:row>18</xdr:row>
      <xdr:rowOff>0</xdr:rowOff>
    </xdr:to>
    <xdr:cxnSp macro="">
      <xdr:nvCxnSpPr>
        <xdr:cNvPr id="56" name="Straight Connector 55">
          <a:extLst>
            <a:ext uri="{FF2B5EF4-FFF2-40B4-BE49-F238E27FC236}">
              <a16:creationId xmlns:a16="http://schemas.microsoft.com/office/drawing/2014/main" id="{D60C50E8-A3F9-4D5B-B7B5-1DB5A8F83948}"/>
            </a:ext>
          </a:extLst>
        </xdr:cNvPr>
        <xdr:cNvCxnSpPr/>
      </xdr:nvCxnSpPr>
      <xdr:spPr>
        <a:xfrm>
          <a:off x="0" y="3162300"/>
          <a:ext cx="6858000" cy="0"/>
        </a:xfrm>
        <a:prstGeom prst="line">
          <a:avLst/>
        </a:prstGeom>
        <a:ln w="9525" cap="rnd" cmpd="thinThick">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29</xdr:row>
      <xdr:rowOff>0</xdr:rowOff>
    </xdr:from>
    <xdr:to>
      <xdr:col>12</xdr:col>
      <xdr:colOff>0</xdr:colOff>
      <xdr:row>29</xdr:row>
      <xdr:rowOff>0</xdr:rowOff>
    </xdr:to>
    <xdr:cxnSp macro="">
      <xdr:nvCxnSpPr>
        <xdr:cNvPr id="60" name="Straight Connector 59">
          <a:extLst>
            <a:ext uri="{FF2B5EF4-FFF2-40B4-BE49-F238E27FC236}">
              <a16:creationId xmlns:a16="http://schemas.microsoft.com/office/drawing/2014/main" id="{F7FDC25E-F856-4DAE-A65F-83C756415EF4}"/>
            </a:ext>
          </a:extLst>
        </xdr:cNvPr>
        <xdr:cNvCxnSpPr/>
      </xdr:nvCxnSpPr>
      <xdr:spPr>
        <a:xfrm>
          <a:off x="0" y="5419725"/>
          <a:ext cx="6858000" cy="0"/>
        </a:xfrm>
        <a:prstGeom prst="line">
          <a:avLst/>
        </a:prstGeom>
        <a:ln w="9525" cap="rnd" cmpd="thinThick">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36</xdr:row>
      <xdr:rowOff>219075</xdr:rowOff>
    </xdr:from>
    <xdr:to>
      <xdr:col>12</xdr:col>
      <xdr:colOff>0</xdr:colOff>
      <xdr:row>36</xdr:row>
      <xdr:rowOff>219075</xdr:rowOff>
    </xdr:to>
    <xdr:cxnSp macro="">
      <xdr:nvCxnSpPr>
        <xdr:cNvPr id="61" name="Straight Connector 60">
          <a:extLst>
            <a:ext uri="{FF2B5EF4-FFF2-40B4-BE49-F238E27FC236}">
              <a16:creationId xmlns:a16="http://schemas.microsoft.com/office/drawing/2014/main" id="{46C22A8E-0909-4805-B0E9-75F12D9F5F74}"/>
            </a:ext>
          </a:extLst>
        </xdr:cNvPr>
        <xdr:cNvCxnSpPr/>
      </xdr:nvCxnSpPr>
      <xdr:spPr>
        <a:xfrm>
          <a:off x="0" y="6972300"/>
          <a:ext cx="6858000" cy="0"/>
        </a:xfrm>
        <a:prstGeom prst="line">
          <a:avLst/>
        </a:prstGeom>
        <a:ln w="9525" cap="rnd" cmpd="thinThick">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388569</xdr:colOff>
      <xdr:row>6</xdr:row>
      <xdr:rowOff>123825</xdr:rowOff>
    </xdr:from>
    <xdr:to>
      <xdr:col>3</xdr:col>
      <xdr:colOff>568569</xdr:colOff>
      <xdr:row>7</xdr:row>
      <xdr:rowOff>75225</xdr:rowOff>
    </xdr:to>
    <xdr:pic>
      <xdr:nvPicPr>
        <xdr:cNvPr id="3" name="Graphic 2" descr="Home with solid fill">
          <a:extLst>
            <a:ext uri="{FF2B5EF4-FFF2-40B4-BE49-F238E27FC236}">
              <a16:creationId xmlns:a16="http://schemas.microsoft.com/office/drawing/2014/main" id="{4F227F9E-0B96-410A-B560-40BE1BBF09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85838" y="981075"/>
          <a:ext cx="180000" cy="178535"/>
        </a:xfrm>
        <a:prstGeom prst="rect">
          <a:avLst/>
        </a:prstGeom>
      </xdr:spPr>
    </xdr:pic>
    <xdr:clientData/>
  </xdr:twoCellAnchor>
  <xdr:twoCellAnchor editAs="oneCell">
    <xdr:from>
      <xdr:col>5</xdr:col>
      <xdr:colOff>371867</xdr:colOff>
      <xdr:row>52</xdr:row>
      <xdr:rowOff>392</xdr:rowOff>
    </xdr:from>
    <xdr:to>
      <xdr:col>5</xdr:col>
      <xdr:colOff>588202</xdr:colOff>
      <xdr:row>53</xdr:row>
      <xdr:rowOff>26227</xdr:rowOff>
    </xdr:to>
    <xdr:pic>
      <xdr:nvPicPr>
        <xdr:cNvPr id="4" name="Graphic 3" descr="Graduation cap with solid fill">
          <a:extLst>
            <a:ext uri="{FF2B5EF4-FFF2-40B4-BE49-F238E27FC236}">
              <a16:creationId xmlns:a16="http://schemas.microsoft.com/office/drawing/2014/main" id="{0B51B566-24B7-4B81-AD78-8FA768A779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85405" y="9115084"/>
          <a:ext cx="216335" cy="216335"/>
        </a:xfrm>
        <a:prstGeom prst="rect">
          <a:avLst/>
        </a:prstGeom>
      </xdr:spPr>
    </xdr:pic>
    <xdr:clientData/>
  </xdr:twoCellAnchor>
  <xdr:twoCellAnchor editAs="oneCell">
    <xdr:from>
      <xdr:col>5</xdr:col>
      <xdr:colOff>398094</xdr:colOff>
      <xdr:row>56</xdr:row>
      <xdr:rowOff>11965</xdr:rowOff>
    </xdr:from>
    <xdr:to>
      <xdr:col>5</xdr:col>
      <xdr:colOff>578094</xdr:colOff>
      <xdr:row>56</xdr:row>
      <xdr:rowOff>190499</xdr:rowOff>
    </xdr:to>
    <xdr:pic>
      <xdr:nvPicPr>
        <xdr:cNvPr id="5" name="Graphic 4" descr="Books with solid fill">
          <a:extLst>
            <a:ext uri="{FF2B5EF4-FFF2-40B4-BE49-F238E27FC236}">
              <a16:creationId xmlns:a16="http://schemas.microsoft.com/office/drawing/2014/main" id="{A9352359-97F2-47C6-B389-41FDAFDC31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11632" y="9888657"/>
          <a:ext cx="180000" cy="178534"/>
        </a:xfrm>
        <a:prstGeom prst="rect">
          <a:avLst/>
        </a:prstGeom>
      </xdr:spPr>
    </xdr:pic>
    <xdr:clientData/>
  </xdr:twoCellAnchor>
  <xdr:twoCellAnchor editAs="oneCell">
    <xdr:from>
      <xdr:col>0</xdr:col>
      <xdr:colOff>172403</xdr:colOff>
      <xdr:row>52</xdr:row>
      <xdr:rowOff>11943</xdr:rowOff>
    </xdr:from>
    <xdr:to>
      <xdr:col>0</xdr:col>
      <xdr:colOff>360998</xdr:colOff>
      <xdr:row>53</xdr:row>
      <xdr:rowOff>8573</xdr:rowOff>
    </xdr:to>
    <xdr:pic>
      <xdr:nvPicPr>
        <xdr:cNvPr id="6" name="Graphic 5" descr="Web design with solid fill">
          <a:extLst>
            <a:ext uri="{FF2B5EF4-FFF2-40B4-BE49-F238E27FC236}">
              <a16:creationId xmlns:a16="http://schemas.microsoft.com/office/drawing/2014/main" id="{4B6CCF8F-2946-4002-BB1A-75CF5C9C960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9126635"/>
          <a:ext cx="188595" cy="187130"/>
        </a:xfrm>
        <a:prstGeom prst="rect">
          <a:avLst/>
        </a:prstGeom>
      </xdr:spPr>
    </xdr:pic>
    <xdr:clientData/>
  </xdr:twoCellAnchor>
  <xdr:oneCellAnchor>
    <xdr:from>
      <xdr:col>5</xdr:col>
      <xdr:colOff>371867</xdr:colOff>
      <xdr:row>54</xdr:row>
      <xdr:rowOff>392</xdr:rowOff>
    </xdr:from>
    <xdr:ext cx="217800" cy="217800"/>
    <xdr:pic>
      <xdr:nvPicPr>
        <xdr:cNvPr id="7" name="Graphic 6" descr="Graduation cap with solid fill">
          <a:extLst>
            <a:ext uri="{FF2B5EF4-FFF2-40B4-BE49-F238E27FC236}">
              <a16:creationId xmlns:a16="http://schemas.microsoft.com/office/drawing/2014/main" id="{280AAB5B-C9DA-48BF-868D-ECA86746CC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85405" y="9496084"/>
          <a:ext cx="217800" cy="217800"/>
        </a:xfrm>
        <a:prstGeom prst="rect">
          <a:avLst/>
        </a:prstGeom>
      </xdr:spPr>
    </xdr:pic>
    <xdr:clientData/>
  </xdr:oneCellAnchor>
  <xdr:oneCellAnchor>
    <xdr:from>
      <xdr:col>0</xdr:col>
      <xdr:colOff>172403</xdr:colOff>
      <xdr:row>28</xdr:row>
      <xdr:rowOff>39053</xdr:rowOff>
    </xdr:from>
    <xdr:ext cx="188595" cy="188595"/>
    <xdr:pic>
      <xdr:nvPicPr>
        <xdr:cNvPr id="8" name="Graphic 7" descr="Web design with solid fill">
          <a:extLst>
            <a:ext uri="{FF2B5EF4-FFF2-40B4-BE49-F238E27FC236}">
              <a16:creationId xmlns:a16="http://schemas.microsoft.com/office/drawing/2014/main" id="{E6313C74-C526-4B64-8A6B-53C1B548FE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4677728"/>
          <a:ext cx="188595" cy="188595"/>
        </a:xfrm>
        <a:prstGeom prst="rect">
          <a:avLst/>
        </a:prstGeom>
      </xdr:spPr>
    </xdr:pic>
    <xdr:clientData/>
  </xdr:oneCellAnchor>
  <xdr:oneCellAnchor>
    <xdr:from>
      <xdr:col>0</xdr:col>
      <xdr:colOff>172403</xdr:colOff>
      <xdr:row>54</xdr:row>
      <xdr:rowOff>11943</xdr:rowOff>
    </xdr:from>
    <xdr:ext cx="188595" cy="188595"/>
    <xdr:pic>
      <xdr:nvPicPr>
        <xdr:cNvPr id="9" name="Graphic 8" descr="Web design with solid fill">
          <a:extLst>
            <a:ext uri="{FF2B5EF4-FFF2-40B4-BE49-F238E27FC236}">
              <a16:creationId xmlns:a16="http://schemas.microsoft.com/office/drawing/2014/main" id="{7B7AE013-C5ED-4142-941B-2A3F53D484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9507635"/>
          <a:ext cx="188595" cy="188595"/>
        </a:xfrm>
        <a:prstGeom prst="rect">
          <a:avLst/>
        </a:prstGeom>
      </xdr:spPr>
    </xdr:pic>
    <xdr:clientData/>
  </xdr:oneCellAnchor>
  <xdr:oneCellAnchor>
    <xdr:from>
      <xdr:col>0</xdr:col>
      <xdr:colOff>172403</xdr:colOff>
      <xdr:row>56</xdr:row>
      <xdr:rowOff>11943</xdr:rowOff>
    </xdr:from>
    <xdr:ext cx="188595" cy="188595"/>
    <xdr:pic>
      <xdr:nvPicPr>
        <xdr:cNvPr id="10" name="Graphic 9" descr="Web design with solid fill">
          <a:extLst>
            <a:ext uri="{FF2B5EF4-FFF2-40B4-BE49-F238E27FC236}">
              <a16:creationId xmlns:a16="http://schemas.microsoft.com/office/drawing/2014/main" id="{9CA1B9BD-0CA2-449B-B8DB-56BDDAC69AF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9888635"/>
          <a:ext cx="188595" cy="188595"/>
        </a:xfrm>
        <a:prstGeom prst="rect">
          <a:avLst/>
        </a:prstGeom>
      </xdr:spPr>
    </xdr:pic>
    <xdr:clientData/>
  </xdr:oneCellAnchor>
  <xdr:twoCellAnchor editAs="oneCell">
    <xdr:from>
      <xdr:col>0</xdr:col>
      <xdr:colOff>113809</xdr:colOff>
      <xdr:row>41</xdr:row>
      <xdr:rowOff>9525</xdr:rowOff>
    </xdr:from>
    <xdr:to>
      <xdr:col>0</xdr:col>
      <xdr:colOff>293809</xdr:colOff>
      <xdr:row>41</xdr:row>
      <xdr:rowOff>189525</xdr:rowOff>
    </xdr:to>
    <xdr:pic>
      <xdr:nvPicPr>
        <xdr:cNvPr id="11" name="Graphic 10" descr="Briefcase with solid fill">
          <a:extLst>
            <a:ext uri="{FF2B5EF4-FFF2-40B4-BE49-F238E27FC236}">
              <a16:creationId xmlns:a16="http://schemas.microsoft.com/office/drawing/2014/main" id="{B7AA0E15-82CF-4410-B6EA-3AF559A313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3809" y="7175256"/>
          <a:ext cx="180000" cy="180000"/>
        </a:xfrm>
        <a:prstGeom prst="rect">
          <a:avLst/>
        </a:prstGeom>
      </xdr:spPr>
    </xdr:pic>
    <xdr:clientData/>
  </xdr:twoCellAnchor>
  <xdr:twoCellAnchor editAs="oneCell">
    <xdr:from>
      <xdr:col>0</xdr:col>
      <xdr:colOff>113809</xdr:colOff>
      <xdr:row>32</xdr:row>
      <xdr:rowOff>20025</xdr:rowOff>
    </xdr:from>
    <xdr:to>
      <xdr:col>0</xdr:col>
      <xdr:colOff>293809</xdr:colOff>
      <xdr:row>33</xdr:row>
      <xdr:rowOff>9525</xdr:rowOff>
    </xdr:to>
    <xdr:pic>
      <xdr:nvPicPr>
        <xdr:cNvPr id="12" name="Graphic 11" descr="Briefcase with solid fill">
          <a:extLst>
            <a:ext uri="{FF2B5EF4-FFF2-40B4-BE49-F238E27FC236}">
              <a16:creationId xmlns:a16="http://schemas.microsoft.com/office/drawing/2014/main" id="{7CF7161D-E25E-4B5B-89F7-A9EFAADF74F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3809" y="5874237"/>
          <a:ext cx="180000" cy="180000"/>
        </a:xfrm>
        <a:prstGeom prst="rect">
          <a:avLst/>
        </a:prstGeom>
      </xdr:spPr>
    </xdr:pic>
    <xdr:clientData/>
  </xdr:twoCellAnchor>
  <xdr:twoCellAnchor editAs="oneCell">
    <xdr:from>
      <xdr:col>0</xdr:col>
      <xdr:colOff>38833</xdr:colOff>
      <xdr:row>17</xdr:row>
      <xdr:rowOff>66675</xdr:rowOff>
    </xdr:from>
    <xdr:to>
      <xdr:col>0</xdr:col>
      <xdr:colOff>360433</xdr:colOff>
      <xdr:row>18</xdr:row>
      <xdr:rowOff>126075</xdr:rowOff>
    </xdr:to>
    <xdr:pic>
      <xdr:nvPicPr>
        <xdr:cNvPr id="13" name="Graphic 12" descr="Office worker male with solid fill">
          <a:extLst>
            <a:ext uri="{FF2B5EF4-FFF2-40B4-BE49-F238E27FC236}">
              <a16:creationId xmlns:a16="http://schemas.microsoft.com/office/drawing/2014/main" id="{4246600F-FD4C-4A34-8926-002B52DA75C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flipH="1">
          <a:off x="38833" y="2638425"/>
          <a:ext cx="321600" cy="286535"/>
        </a:xfrm>
        <a:prstGeom prst="rect">
          <a:avLst/>
        </a:prstGeom>
      </xdr:spPr>
    </xdr:pic>
    <xdr:clientData/>
  </xdr:twoCellAnchor>
  <xdr:twoCellAnchor editAs="oneCell">
    <xdr:from>
      <xdr:col>0</xdr:col>
      <xdr:colOff>39025</xdr:colOff>
      <xdr:row>11</xdr:row>
      <xdr:rowOff>66674</xdr:rowOff>
    </xdr:from>
    <xdr:to>
      <xdr:col>0</xdr:col>
      <xdr:colOff>357552</xdr:colOff>
      <xdr:row>13</xdr:row>
      <xdr:rowOff>171450</xdr:rowOff>
    </xdr:to>
    <xdr:pic>
      <xdr:nvPicPr>
        <xdr:cNvPr id="14" name="Graphic 13" descr="Spinning Plates with solid fill">
          <a:extLst>
            <a:ext uri="{FF2B5EF4-FFF2-40B4-BE49-F238E27FC236}">
              <a16:creationId xmlns:a16="http://schemas.microsoft.com/office/drawing/2014/main" id="{209A62E3-6005-4D40-A963-A15573B043D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flipH="1">
          <a:off x="39025" y="1854443"/>
          <a:ext cx="318527" cy="353892"/>
        </a:xfrm>
        <a:prstGeom prst="rect">
          <a:avLst/>
        </a:prstGeom>
      </xdr:spPr>
    </xdr:pic>
    <xdr:clientData/>
  </xdr:twoCellAnchor>
  <xdr:oneCellAnchor>
    <xdr:from>
      <xdr:col>1</xdr:col>
      <xdr:colOff>429600</xdr:colOff>
      <xdr:row>43</xdr:row>
      <xdr:rowOff>0</xdr:rowOff>
    </xdr:from>
    <xdr:ext cx="180000" cy="180000"/>
    <xdr:pic>
      <xdr:nvPicPr>
        <xdr:cNvPr id="15" name="Graphic 14" descr="Factory with solid fill">
          <a:extLst>
            <a:ext uri="{FF2B5EF4-FFF2-40B4-BE49-F238E27FC236}">
              <a16:creationId xmlns:a16="http://schemas.microsoft.com/office/drawing/2014/main" id="{89444CC2-6BEC-47FB-9DB5-AB00BE2578D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10600" y="8677275"/>
          <a:ext cx="180000" cy="180000"/>
        </a:xfrm>
        <a:prstGeom prst="rect">
          <a:avLst/>
        </a:prstGeom>
      </xdr:spPr>
    </xdr:pic>
    <xdr:clientData/>
  </xdr:oneCellAnchor>
  <xdr:oneCellAnchor>
    <xdr:from>
      <xdr:col>0</xdr:col>
      <xdr:colOff>172403</xdr:colOff>
      <xdr:row>26</xdr:row>
      <xdr:rowOff>39053</xdr:rowOff>
    </xdr:from>
    <xdr:ext cx="188595" cy="188595"/>
    <xdr:pic>
      <xdr:nvPicPr>
        <xdr:cNvPr id="16" name="Graphic 15" descr="Web design with solid fill">
          <a:extLst>
            <a:ext uri="{FF2B5EF4-FFF2-40B4-BE49-F238E27FC236}">
              <a16:creationId xmlns:a16="http://schemas.microsoft.com/office/drawing/2014/main" id="{59DA60C8-48E9-4E3F-B8AA-B0C6029B33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4220528"/>
          <a:ext cx="188595" cy="188595"/>
        </a:xfrm>
        <a:prstGeom prst="rect">
          <a:avLst/>
        </a:prstGeom>
      </xdr:spPr>
    </xdr:pic>
    <xdr:clientData/>
  </xdr:oneCellAnchor>
  <xdr:oneCellAnchor>
    <xdr:from>
      <xdr:col>0</xdr:col>
      <xdr:colOff>172403</xdr:colOff>
      <xdr:row>29</xdr:row>
      <xdr:rowOff>39053</xdr:rowOff>
    </xdr:from>
    <xdr:ext cx="188595" cy="188595"/>
    <xdr:pic>
      <xdr:nvPicPr>
        <xdr:cNvPr id="17" name="Graphic 16" descr="Web design with solid fill">
          <a:extLst>
            <a:ext uri="{FF2B5EF4-FFF2-40B4-BE49-F238E27FC236}">
              <a16:creationId xmlns:a16="http://schemas.microsoft.com/office/drawing/2014/main" id="{4C53942E-2F4F-42E8-AE3B-4FC448D95F0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4906328"/>
          <a:ext cx="188595" cy="188595"/>
        </a:xfrm>
        <a:prstGeom prst="rect">
          <a:avLst/>
        </a:prstGeom>
      </xdr:spPr>
    </xdr:pic>
    <xdr:clientData/>
  </xdr:oneCellAnchor>
  <xdr:oneCellAnchor>
    <xdr:from>
      <xdr:col>0</xdr:col>
      <xdr:colOff>172403</xdr:colOff>
      <xdr:row>27</xdr:row>
      <xdr:rowOff>39053</xdr:rowOff>
    </xdr:from>
    <xdr:ext cx="188595" cy="188595"/>
    <xdr:pic>
      <xdr:nvPicPr>
        <xdr:cNvPr id="18" name="Graphic 17" descr="Web design with solid fill">
          <a:extLst>
            <a:ext uri="{FF2B5EF4-FFF2-40B4-BE49-F238E27FC236}">
              <a16:creationId xmlns:a16="http://schemas.microsoft.com/office/drawing/2014/main" id="{B1A1CC88-0760-4805-A010-B93BCDD1DB1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4449128"/>
          <a:ext cx="188595" cy="188595"/>
        </a:xfrm>
        <a:prstGeom prst="rect">
          <a:avLst/>
        </a:prstGeom>
      </xdr:spPr>
    </xdr:pic>
    <xdr:clientData/>
  </xdr:oneCellAnchor>
  <xdr:oneCellAnchor>
    <xdr:from>
      <xdr:col>0</xdr:col>
      <xdr:colOff>172403</xdr:colOff>
      <xdr:row>21</xdr:row>
      <xdr:rowOff>39053</xdr:rowOff>
    </xdr:from>
    <xdr:ext cx="188595" cy="188595"/>
    <xdr:pic>
      <xdr:nvPicPr>
        <xdr:cNvPr id="19" name="Graphic 18" descr="Web design with solid fill">
          <a:extLst>
            <a:ext uri="{FF2B5EF4-FFF2-40B4-BE49-F238E27FC236}">
              <a16:creationId xmlns:a16="http://schemas.microsoft.com/office/drawing/2014/main" id="{C0CB38AE-0FB9-4A83-8D00-7EA64F9271B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3306128"/>
          <a:ext cx="188595" cy="188595"/>
        </a:xfrm>
        <a:prstGeom prst="rect">
          <a:avLst/>
        </a:prstGeom>
      </xdr:spPr>
    </xdr:pic>
    <xdr:clientData/>
  </xdr:oneCellAnchor>
  <xdr:twoCellAnchor editAs="absolute">
    <xdr:from>
      <xdr:col>0</xdr:col>
      <xdr:colOff>0</xdr:colOff>
      <xdr:row>9</xdr:row>
      <xdr:rowOff>1463</xdr:rowOff>
    </xdr:from>
    <xdr:to>
      <xdr:col>11</xdr:col>
      <xdr:colOff>380998</xdr:colOff>
      <xdr:row>58</xdr:row>
      <xdr:rowOff>571499</xdr:rowOff>
    </xdr:to>
    <xdr:sp macro="" textlink="">
      <xdr:nvSpPr>
        <xdr:cNvPr id="20" name="Moon 8">
          <a:extLst>
            <a:ext uri="{FF2B5EF4-FFF2-40B4-BE49-F238E27FC236}">
              <a16:creationId xmlns:a16="http://schemas.microsoft.com/office/drawing/2014/main" id="{756BF537-3962-4A5E-9C9E-119A4BF133CF}"/>
            </a:ext>
          </a:extLst>
        </xdr:cNvPr>
        <xdr:cNvSpPr/>
      </xdr:nvSpPr>
      <xdr:spPr>
        <a:xfrm rot="10800000">
          <a:off x="0" y="1465382"/>
          <a:ext cx="6843344" cy="9363809"/>
        </a:xfrm>
        <a:custGeom>
          <a:avLst/>
          <a:gdLst>
            <a:gd name="connsiteX0" fmla="*/ 942975 w 942975"/>
            <a:gd name="connsiteY0" fmla="*/ 1200150 h 1200150"/>
            <a:gd name="connsiteX1" fmla="*/ 0 w 942975"/>
            <a:gd name="connsiteY1" fmla="*/ 600075 h 1200150"/>
            <a:gd name="connsiteX2" fmla="*/ 942975 w 942975"/>
            <a:gd name="connsiteY2" fmla="*/ 0 h 1200150"/>
            <a:gd name="connsiteX3" fmla="*/ 942975 w 942975"/>
            <a:gd name="connsiteY3" fmla="*/ 1200150 h 1200150"/>
            <a:gd name="connsiteX0" fmla="*/ 914400 w 914400"/>
            <a:gd name="connsiteY0" fmla="*/ 1238742 h 1238742"/>
            <a:gd name="connsiteX1" fmla="*/ 0 w 914400"/>
            <a:gd name="connsiteY1" fmla="*/ 210042 h 1238742"/>
            <a:gd name="connsiteX2" fmla="*/ 914400 w 914400"/>
            <a:gd name="connsiteY2" fmla="*/ 38592 h 1238742"/>
            <a:gd name="connsiteX3" fmla="*/ 914400 w 914400"/>
            <a:gd name="connsiteY3" fmla="*/ 1238742 h 1238742"/>
            <a:gd name="connsiteX0" fmla="*/ 914400 w 914400"/>
            <a:gd name="connsiteY0" fmla="*/ 1200150 h 1200150"/>
            <a:gd name="connsiteX1" fmla="*/ 0 w 914400"/>
            <a:gd name="connsiteY1" fmla="*/ 171450 h 1200150"/>
            <a:gd name="connsiteX2" fmla="*/ 914400 w 914400"/>
            <a:gd name="connsiteY2" fmla="*/ 0 h 1200150"/>
            <a:gd name="connsiteX3" fmla="*/ 914400 w 914400"/>
            <a:gd name="connsiteY3" fmla="*/ 1200150 h 1200150"/>
            <a:gd name="connsiteX0" fmla="*/ 933450 w 933450"/>
            <a:gd name="connsiteY0" fmla="*/ 1253284 h 1253284"/>
            <a:gd name="connsiteX1" fmla="*/ 0 w 933450"/>
            <a:gd name="connsiteY1" fmla="*/ 72184 h 1253284"/>
            <a:gd name="connsiteX2" fmla="*/ 933450 w 933450"/>
            <a:gd name="connsiteY2" fmla="*/ 53134 h 1253284"/>
            <a:gd name="connsiteX3" fmla="*/ 933450 w 933450"/>
            <a:gd name="connsiteY3" fmla="*/ 1253284 h 1253284"/>
            <a:gd name="connsiteX0" fmla="*/ 933450 w 933450"/>
            <a:gd name="connsiteY0" fmla="*/ 1201143 h 1201143"/>
            <a:gd name="connsiteX1" fmla="*/ 0 w 933450"/>
            <a:gd name="connsiteY1" fmla="*/ 20043 h 1201143"/>
            <a:gd name="connsiteX2" fmla="*/ 933450 w 933450"/>
            <a:gd name="connsiteY2" fmla="*/ 993 h 1201143"/>
            <a:gd name="connsiteX3" fmla="*/ 933450 w 933450"/>
            <a:gd name="connsiteY3" fmla="*/ 1201143 h 1201143"/>
            <a:gd name="connsiteX0" fmla="*/ 262139 w 1090814"/>
            <a:gd name="connsiteY0" fmla="*/ 1258293 h 1258293"/>
            <a:gd name="connsiteX1" fmla="*/ 157364 w 1090814"/>
            <a:gd name="connsiteY1" fmla="*/ 20043 h 1258293"/>
            <a:gd name="connsiteX2" fmla="*/ 1090814 w 1090814"/>
            <a:gd name="connsiteY2" fmla="*/ 993 h 1258293"/>
            <a:gd name="connsiteX3" fmla="*/ 262139 w 1090814"/>
            <a:gd name="connsiteY3" fmla="*/ 1258293 h 1258293"/>
            <a:gd name="connsiteX0" fmla="*/ 262139 w 1090818"/>
            <a:gd name="connsiteY0" fmla="*/ 1258293 h 1272507"/>
            <a:gd name="connsiteX1" fmla="*/ 157364 w 1090818"/>
            <a:gd name="connsiteY1" fmla="*/ 20043 h 1272507"/>
            <a:gd name="connsiteX2" fmla="*/ 1090814 w 1090818"/>
            <a:gd name="connsiteY2" fmla="*/ 993 h 1272507"/>
            <a:gd name="connsiteX3" fmla="*/ 538363 w 1090818"/>
            <a:gd name="connsiteY3" fmla="*/ 505818 h 1272507"/>
            <a:gd name="connsiteX4" fmla="*/ 262139 w 1090818"/>
            <a:gd name="connsiteY4"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64426 w 993105"/>
            <a:gd name="connsiteY0" fmla="*/ 1258293 h 1272507"/>
            <a:gd name="connsiteX1" fmla="*/ 173950 w 993105"/>
            <a:gd name="connsiteY1" fmla="*/ 705843 h 1272507"/>
            <a:gd name="connsiteX2" fmla="*/ 59651 w 993105"/>
            <a:gd name="connsiteY2" fmla="*/ 20043 h 1272507"/>
            <a:gd name="connsiteX3" fmla="*/ 993101 w 993105"/>
            <a:gd name="connsiteY3" fmla="*/ 993 h 1272507"/>
            <a:gd name="connsiteX4" fmla="*/ 440650 w 993105"/>
            <a:gd name="connsiteY4" fmla="*/ 505818 h 1272507"/>
            <a:gd name="connsiteX5" fmla="*/ 164426 w 993105"/>
            <a:gd name="connsiteY5" fmla="*/ 1258293 h 1272507"/>
            <a:gd name="connsiteX0" fmla="*/ 104775 w 933454"/>
            <a:gd name="connsiteY0" fmla="*/ 1258293 h 1272507"/>
            <a:gd name="connsiteX1" fmla="*/ 114299 w 933454"/>
            <a:gd name="connsiteY1" fmla="*/ 705843 h 1272507"/>
            <a:gd name="connsiteX2" fmla="*/ 0 w 933454"/>
            <a:gd name="connsiteY2" fmla="*/ 20043 h 1272507"/>
            <a:gd name="connsiteX3" fmla="*/ 933450 w 933454"/>
            <a:gd name="connsiteY3" fmla="*/ 993 h 1272507"/>
            <a:gd name="connsiteX4" fmla="*/ 380999 w 933454"/>
            <a:gd name="connsiteY4" fmla="*/ 505818 h 1272507"/>
            <a:gd name="connsiteX5" fmla="*/ 104775 w 933454"/>
            <a:gd name="connsiteY5" fmla="*/ 1258293 h 1272507"/>
            <a:gd name="connsiteX0" fmla="*/ 155750 w 984429"/>
            <a:gd name="connsiteY0" fmla="*/ 1258293 h 1272507"/>
            <a:gd name="connsiteX1" fmla="*/ 50975 w 984429"/>
            <a:gd name="connsiteY1" fmla="*/ 20043 h 1272507"/>
            <a:gd name="connsiteX2" fmla="*/ 984425 w 984429"/>
            <a:gd name="connsiteY2" fmla="*/ 993 h 1272507"/>
            <a:gd name="connsiteX3" fmla="*/ 431974 w 984429"/>
            <a:gd name="connsiteY3" fmla="*/ 505818 h 1272507"/>
            <a:gd name="connsiteX4" fmla="*/ 155750 w 984429"/>
            <a:gd name="connsiteY4" fmla="*/ 1258293 h 1272507"/>
            <a:gd name="connsiteX0" fmla="*/ 104775 w 933454"/>
            <a:gd name="connsiteY0" fmla="*/ 1258293 h 1272507"/>
            <a:gd name="connsiteX1" fmla="*/ 0 w 933454"/>
            <a:gd name="connsiteY1" fmla="*/ 20043 h 1272507"/>
            <a:gd name="connsiteX2" fmla="*/ 933450 w 933454"/>
            <a:gd name="connsiteY2" fmla="*/ 993 h 1272507"/>
            <a:gd name="connsiteX3" fmla="*/ 380999 w 933454"/>
            <a:gd name="connsiteY3" fmla="*/ 505818 h 1272507"/>
            <a:gd name="connsiteX4" fmla="*/ 104775 w 933454"/>
            <a:gd name="connsiteY4" fmla="*/ 1258293 h 1272507"/>
            <a:gd name="connsiteX0" fmla="*/ 104775 w 933454"/>
            <a:gd name="connsiteY0" fmla="*/ 1257300 h 1271514"/>
            <a:gd name="connsiteX1" fmla="*/ 0 w 933454"/>
            <a:gd name="connsiteY1" fmla="*/ 19050 h 1271514"/>
            <a:gd name="connsiteX2" fmla="*/ 933450 w 933454"/>
            <a:gd name="connsiteY2" fmla="*/ 0 h 1271514"/>
            <a:gd name="connsiteX3" fmla="*/ 380999 w 933454"/>
            <a:gd name="connsiteY3" fmla="*/ 504825 h 1271514"/>
            <a:gd name="connsiteX4" fmla="*/ 104775 w 933454"/>
            <a:gd name="connsiteY4" fmla="*/ 1257300 h 1271514"/>
            <a:gd name="connsiteX0" fmla="*/ 106468 w 935147"/>
            <a:gd name="connsiteY0" fmla="*/ 1257301 h 1271515"/>
            <a:gd name="connsiteX1" fmla="*/ 0 w 935147"/>
            <a:gd name="connsiteY1" fmla="*/ 0 h 1271515"/>
            <a:gd name="connsiteX2" fmla="*/ 935143 w 935147"/>
            <a:gd name="connsiteY2" fmla="*/ 1 h 1271515"/>
            <a:gd name="connsiteX3" fmla="*/ 382692 w 935147"/>
            <a:gd name="connsiteY3" fmla="*/ 504826 h 1271515"/>
            <a:gd name="connsiteX4" fmla="*/ 106468 w 935147"/>
            <a:gd name="connsiteY4" fmla="*/ 1257301 h 1271515"/>
            <a:gd name="connsiteX0" fmla="*/ 0 w 935147"/>
            <a:gd name="connsiteY0" fmla="*/ 3310736 h 3314537"/>
            <a:gd name="connsiteX1" fmla="*/ 0 w 935147"/>
            <a:gd name="connsiteY1" fmla="*/ 0 h 3314537"/>
            <a:gd name="connsiteX2" fmla="*/ 935143 w 935147"/>
            <a:gd name="connsiteY2" fmla="*/ 1 h 3314537"/>
            <a:gd name="connsiteX3" fmla="*/ 382692 w 935147"/>
            <a:gd name="connsiteY3" fmla="*/ 504826 h 3314537"/>
            <a:gd name="connsiteX4" fmla="*/ 0 w 935147"/>
            <a:gd name="connsiteY4" fmla="*/ 3310736 h 3314537"/>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42874"/>
            <a:gd name="connsiteY0" fmla="*/ 3310736 h 3365354"/>
            <a:gd name="connsiteX1" fmla="*/ 0 w 942874"/>
            <a:gd name="connsiteY1" fmla="*/ 0 h 3365354"/>
            <a:gd name="connsiteX2" fmla="*/ 935143 w 942874"/>
            <a:gd name="connsiteY2" fmla="*/ 1 h 3365354"/>
            <a:gd name="connsiteX3" fmla="*/ 335433 w 942874"/>
            <a:gd name="connsiteY3" fmla="*/ 1679359 h 3365354"/>
            <a:gd name="connsiteX4" fmla="*/ 0 w 942874"/>
            <a:gd name="connsiteY4" fmla="*/ 3310736 h 3365354"/>
            <a:gd name="connsiteX0" fmla="*/ 0 w 939483"/>
            <a:gd name="connsiteY0" fmla="*/ 3310736 h 3365354"/>
            <a:gd name="connsiteX1" fmla="*/ 0 w 939483"/>
            <a:gd name="connsiteY1" fmla="*/ 0 h 3365354"/>
            <a:gd name="connsiteX2" fmla="*/ 935143 w 939483"/>
            <a:gd name="connsiteY2" fmla="*/ 1 h 3365354"/>
            <a:gd name="connsiteX3" fmla="*/ 335433 w 939483"/>
            <a:gd name="connsiteY3" fmla="*/ 1679359 h 3365354"/>
            <a:gd name="connsiteX4" fmla="*/ 0 w 939483"/>
            <a:gd name="connsiteY4" fmla="*/ 3310736 h 3365354"/>
            <a:gd name="connsiteX0" fmla="*/ 0 w 939483"/>
            <a:gd name="connsiteY0" fmla="*/ 3310736 h 3310736"/>
            <a:gd name="connsiteX1" fmla="*/ 0 w 939483"/>
            <a:gd name="connsiteY1" fmla="*/ 0 h 3310736"/>
            <a:gd name="connsiteX2" fmla="*/ 935143 w 939483"/>
            <a:gd name="connsiteY2" fmla="*/ 1 h 3310736"/>
            <a:gd name="connsiteX3" fmla="*/ 335433 w 939483"/>
            <a:gd name="connsiteY3" fmla="*/ 1679359 h 3310736"/>
            <a:gd name="connsiteX4" fmla="*/ 0 w 93948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335433 w 935143"/>
            <a:gd name="connsiteY3" fmla="*/ 1679359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0 w 935143"/>
            <a:gd name="connsiteY3"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5143"/>
            <a:gd name="connsiteY0" fmla="*/ 3310736 h 3310736"/>
            <a:gd name="connsiteX1" fmla="*/ 0 w 935143"/>
            <a:gd name="connsiteY1" fmla="*/ 0 h 3310736"/>
            <a:gd name="connsiteX2" fmla="*/ 935143 w 935143"/>
            <a:gd name="connsiteY2" fmla="*/ 1 h 3310736"/>
            <a:gd name="connsiteX3" fmla="*/ 291387 w 935143"/>
            <a:gd name="connsiteY3" fmla="*/ 1463441 h 3310736"/>
            <a:gd name="connsiteX4" fmla="*/ 0 w 935143"/>
            <a:gd name="connsiteY4" fmla="*/ 3310736 h 3310736"/>
            <a:gd name="connsiteX0" fmla="*/ 0 w 939206"/>
            <a:gd name="connsiteY0" fmla="*/ 3310736 h 3310736"/>
            <a:gd name="connsiteX1" fmla="*/ 0 w 939206"/>
            <a:gd name="connsiteY1" fmla="*/ 0 h 3310736"/>
            <a:gd name="connsiteX2" fmla="*/ 935143 w 939206"/>
            <a:gd name="connsiteY2" fmla="*/ 1 h 3310736"/>
            <a:gd name="connsiteX3" fmla="*/ 291387 w 939206"/>
            <a:gd name="connsiteY3" fmla="*/ 1463441 h 3310736"/>
            <a:gd name="connsiteX4" fmla="*/ 0 w 939206"/>
            <a:gd name="connsiteY4" fmla="*/ 3310736 h 3310736"/>
            <a:gd name="connsiteX0" fmla="*/ 0 w 940716"/>
            <a:gd name="connsiteY0" fmla="*/ 3310736 h 3310736"/>
            <a:gd name="connsiteX1" fmla="*/ 0 w 940716"/>
            <a:gd name="connsiteY1" fmla="*/ 0 h 3310736"/>
            <a:gd name="connsiteX2" fmla="*/ 935143 w 940716"/>
            <a:gd name="connsiteY2" fmla="*/ 1 h 3310736"/>
            <a:gd name="connsiteX3" fmla="*/ 291387 w 940716"/>
            <a:gd name="connsiteY3" fmla="*/ 1463441 h 3310736"/>
            <a:gd name="connsiteX4" fmla="*/ 0 w 940716"/>
            <a:gd name="connsiteY4" fmla="*/ 3310736 h 3310736"/>
            <a:gd name="connsiteX0" fmla="*/ 0 w 941081"/>
            <a:gd name="connsiteY0" fmla="*/ 3310736 h 3310736"/>
            <a:gd name="connsiteX1" fmla="*/ 0 w 941081"/>
            <a:gd name="connsiteY1" fmla="*/ 0 h 3310736"/>
            <a:gd name="connsiteX2" fmla="*/ 935143 w 941081"/>
            <a:gd name="connsiteY2" fmla="*/ 1 h 3310736"/>
            <a:gd name="connsiteX3" fmla="*/ 311716 w 941081"/>
            <a:gd name="connsiteY3" fmla="*/ 1239527 h 3310736"/>
            <a:gd name="connsiteX4" fmla="*/ 0 w 941081"/>
            <a:gd name="connsiteY4" fmla="*/ 3310736 h 3310736"/>
            <a:gd name="connsiteX0" fmla="*/ 0 w 940811"/>
            <a:gd name="connsiteY0" fmla="*/ 3310736 h 3310736"/>
            <a:gd name="connsiteX1" fmla="*/ 0 w 940811"/>
            <a:gd name="connsiteY1" fmla="*/ 0 h 3310736"/>
            <a:gd name="connsiteX2" fmla="*/ 935143 w 940811"/>
            <a:gd name="connsiteY2" fmla="*/ 1 h 3310736"/>
            <a:gd name="connsiteX3" fmla="*/ 311716 w 940811"/>
            <a:gd name="connsiteY3" fmla="*/ 1239527 h 3310736"/>
            <a:gd name="connsiteX4" fmla="*/ 0 w 940811"/>
            <a:gd name="connsiteY4" fmla="*/ 3310736 h 3310736"/>
            <a:gd name="connsiteX0" fmla="*/ 0 w 939594"/>
            <a:gd name="connsiteY0" fmla="*/ 3310736 h 3310736"/>
            <a:gd name="connsiteX1" fmla="*/ 0 w 939594"/>
            <a:gd name="connsiteY1" fmla="*/ 0 h 3310736"/>
            <a:gd name="connsiteX2" fmla="*/ 935143 w 939594"/>
            <a:gd name="connsiteY2" fmla="*/ 1 h 3310736"/>
            <a:gd name="connsiteX3" fmla="*/ 311716 w 939594"/>
            <a:gd name="connsiteY3" fmla="*/ 1239527 h 3310736"/>
            <a:gd name="connsiteX4" fmla="*/ 0 w 939594"/>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0 w 939172"/>
            <a:gd name="connsiteY0" fmla="*/ 3310736 h 3310736"/>
            <a:gd name="connsiteX1" fmla="*/ 0 w 939172"/>
            <a:gd name="connsiteY1" fmla="*/ 0 h 3310736"/>
            <a:gd name="connsiteX2" fmla="*/ 935143 w 939172"/>
            <a:gd name="connsiteY2" fmla="*/ 1 h 3310736"/>
            <a:gd name="connsiteX3" fmla="*/ 269363 w 939172"/>
            <a:gd name="connsiteY3" fmla="*/ 1327493 h 3310736"/>
            <a:gd name="connsiteX4" fmla="*/ 0 w 939172"/>
            <a:gd name="connsiteY4" fmla="*/ 3310736 h 3310736"/>
            <a:gd name="connsiteX0" fmla="*/ 2184 w 941356"/>
            <a:gd name="connsiteY0" fmla="*/ 3310736 h 3688713"/>
            <a:gd name="connsiteX1" fmla="*/ 2184 w 941356"/>
            <a:gd name="connsiteY1" fmla="*/ 0 h 3688713"/>
            <a:gd name="connsiteX2" fmla="*/ 937327 w 941356"/>
            <a:gd name="connsiteY2" fmla="*/ 1 h 3688713"/>
            <a:gd name="connsiteX3" fmla="*/ 271547 w 941356"/>
            <a:gd name="connsiteY3" fmla="*/ 1327493 h 3688713"/>
            <a:gd name="connsiteX4" fmla="*/ 2184 w 941356"/>
            <a:gd name="connsiteY4" fmla="*/ 3310736 h 3688713"/>
            <a:gd name="connsiteX0" fmla="*/ 2184 w 939902"/>
            <a:gd name="connsiteY0" fmla="*/ 3612860 h 3990837"/>
            <a:gd name="connsiteX1" fmla="*/ 2184 w 939902"/>
            <a:gd name="connsiteY1" fmla="*/ 302124 h 3990837"/>
            <a:gd name="connsiteX2" fmla="*/ 937327 w 939902"/>
            <a:gd name="connsiteY2" fmla="*/ 302125 h 3990837"/>
            <a:gd name="connsiteX3" fmla="*/ 271547 w 939902"/>
            <a:gd name="connsiteY3" fmla="*/ 1629617 h 3990837"/>
            <a:gd name="connsiteX4" fmla="*/ 2184 w 939902"/>
            <a:gd name="connsiteY4" fmla="*/ 3612860 h 3990837"/>
            <a:gd name="connsiteX0" fmla="*/ 2184 w 939902"/>
            <a:gd name="connsiteY0" fmla="*/ 3310736 h 3688713"/>
            <a:gd name="connsiteX1" fmla="*/ 2184 w 939902"/>
            <a:gd name="connsiteY1" fmla="*/ 0 h 3688713"/>
            <a:gd name="connsiteX2" fmla="*/ 937327 w 939902"/>
            <a:gd name="connsiteY2" fmla="*/ 1 h 3688713"/>
            <a:gd name="connsiteX3" fmla="*/ 271547 w 939902"/>
            <a:gd name="connsiteY3" fmla="*/ 1327493 h 3688713"/>
            <a:gd name="connsiteX4" fmla="*/ 2184 w 939902"/>
            <a:gd name="connsiteY4" fmla="*/ 3310736 h 3688713"/>
            <a:gd name="connsiteX0" fmla="*/ 2184 w 941752"/>
            <a:gd name="connsiteY0" fmla="*/ 3310741 h 3688718"/>
            <a:gd name="connsiteX1" fmla="*/ 2184 w 941752"/>
            <a:gd name="connsiteY1" fmla="*/ 5 h 3688718"/>
            <a:gd name="connsiteX2" fmla="*/ 937327 w 941752"/>
            <a:gd name="connsiteY2" fmla="*/ 6 h 3688718"/>
            <a:gd name="connsiteX3" fmla="*/ 271547 w 941752"/>
            <a:gd name="connsiteY3" fmla="*/ 1327498 h 3688718"/>
            <a:gd name="connsiteX4" fmla="*/ 2184 w 941752"/>
            <a:gd name="connsiteY4" fmla="*/ 3310741 h 3688718"/>
            <a:gd name="connsiteX0" fmla="*/ 2869 w 942437"/>
            <a:gd name="connsiteY0" fmla="*/ 3310741 h 3332727"/>
            <a:gd name="connsiteX1" fmla="*/ 2869 w 942437"/>
            <a:gd name="connsiteY1" fmla="*/ 5 h 3332727"/>
            <a:gd name="connsiteX2" fmla="*/ 938012 w 942437"/>
            <a:gd name="connsiteY2" fmla="*/ 6 h 3332727"/>
            <a:gd name="connsiteX3" fmla="*/ 272232 w 942437"/>
            <a:gd name="connsiteY3" fmla="*/ 1327498 h 3332727"/>
            <a:gd name="connsiteX4" fmla="*/ 2869 w 942437"/>
            <a:gd name="connsiteY4" fmla="*/ 3310741 h 3332727"/>
            <a:gd name="connsiteX0" fmla="*/ 24846 w 964329"/>
            <a:gd name="connsiteY0" fmla="*/ 3401367 h 3435362"/>
            <a:gd name="connsiteX1" fmla="*/ 24846 w 964329"/>
            <a:gd name="connsiteY1" fmla="*/ 90631 h 3435362"/>
            <a:gd name="connsiteX2" fmla="*/ 959989 w 964329"/>
            <a:gd name="connsiteY2" fmla="*/ 90632 h 3435362"/>
            <a:gd name="connsiteX3" fmla="*/ 360279 w 964329"/>
            <a:gd name="connsiteY3" fmla="*/ 1314164 h 3435362"/>
            <a:gd name="connsiteX4" fmla="*/ 24846 w 964329"/>
            <a:gd name="connsiteY4" fmla="*/ 3401367 h 3435362"/>
            <a:gd name="connsiteX0" fmla="*/ 0 w 939483"/>
            <a:gd name="connsiteY0" fmla="*/ 3401367 h 3435362"/>
            <a:gd name="connsiteX1" fmla="*/ 0 w 939483"/>
            <a:gd name="connsiteY1" fmla="*/ 90631 h 3435362"/>
            <a:gd name="connsiteX2" fmla="*/ 935143 w 939483"/>
            <a:gd name="connsiteY2" fmla="*/ 90632 h 3435362"/>
            <a:gd name="connsiteX3" fmla="*/ 335433 w 939483"/>
            <a:gd name="connsiteY3" fmla="*/ 1314164 h 3435362"/>
            <a:gd name="connsiteX4" fmla="*/ 0 w 939483"/>
            <a:gd name="connsiteY4" fmla="*/ 3401367 h 3435362"/>
            <a:gd name="connsiteX0" fmla="*/ 78 w 939561"/>
            <a:gd name="connsiteY0" fmla="*/ 3401367 h 3455659"/>
            <a:gd name="connsiteX1" fmla="*/ 78 w 939561"/>
            <a:gd name="connsiteY1" fmla="*/ 90631 h 3455659"/>
            <a:gd name="connsiteX2" fmla="*/ 935221 w 939561"/>
            <a:gd name="connsiteY2" fmla="*/ 90632 h 3455659"/>
            <a:gd name="connsiteX3" fmla="*/ 335511 w 939561"/>
            <a:gd name="connsiteY3" fmla="*/ 1314164 h 3455659"/>
            <a:gd name="connsiteX4" fmla="*/ 78 w 939561"/>
            <a:gd name="connsiteY4" fmla="*/ 3401367 h 3455659"/>
            <a:gd name="connsiteX0" fmla="*/ 78 w 939561"/>
            <a:gd name="connsiteY0" fmla="*/ 3310736 h 3365028"/>
            <a:gd name="connsiteX1" fmla="*/ 78 w 939561"/>
            <a:gd name="connsiteY1" fmla="*/ 0 h 3365028"/>
            <a:gd name="connsiteX2" fmla="*/ 935221 w 939561"/>
            <a:gd name="connsiteY2" fmla="*/ 1 h 3365028"/>
            <a:gd name="connsiteX3" fmla="*/ 335511 w 939561"/>
            <a:gd name="connsiteY3" fmla="*/ 1223533 h 3365028"/>
            <a:gd name="connsiteX4" fmla="*/ 78 w 939561"/>
            <a:gd name="connsiteY4" fmla="*/ 3310736 h 3365028"/>
            <a:gd name="connsiteX0" fmla="*/ 78 w 938432"/>
            <a:gd name="connsiteY0" fmla="*/ 3310752 h 3365044"/>
            <a:gd name="connsiteX1" fmla="*/ 78 w 938432"/>
            <a:gd name="connsiteY1" fmla="*/ 16 h 3365044"/>
            <a:gd name="connsiteX2" fmla="*/ 935221 w 938432"/>
            <a:gd name="connsiteY2" fmla="*/ 17 h 3365044"/>
            <a:gd name="connsiteX3" fmla="*/ 335511 w 938432"/>
            <a:gd name="connsiteY3" fmla="*/ 1223549 h 3365044"/>
            <a:gd name="connsiteX4" fmla="*/ 78 w 938432"/>
            <a:gd name="connsiteY4" fmla="*/ 3310752 h 3365044"/>
            <a:gd name="connsiteX0" fmla="*/ 37 w 938611"/>
            <a:gd name="connsiteY0" fmla="*/ 3310752 h 3367422"/>
            <a:gd name="connsiteX1" fmla="*/ 37 w 938611"/>
            <a:gd name="connsiteY1" fmla="*/ 16 h 3367422"/>
            <a:gd name="connsiteX2" fmla="*/ 935180 w 938611"/>
            <a:gd name="connsiteY2" fmla="*/ 17 h 3367422"/>
            <a:gd name="connsiteX3" fmla="*/ 369352 w 938611"/>
            <a:gd name="connsiteY3" fmla="*/ 1271531 h 3367422"/>
            <a:gd name="connsiteX4" fmla="*/ 37 w 938611"/>
            <a:gd name="connsiteY4" fmla="*/ 3310752 h 3367422"/>
            <a:gd name="connsiteX0" fmla="*/ 13 w 938874"/>
            <a:gd name="connsiteY0" fmla="*/ 3310755 h 3342063"/>
            <a:gd name="connsiteX1" fmla="*/ 13 w 938874"/>
            <a:gd name="connsiteY1" fmla="*/ 19 h 3342063"/>
            <a:gd name="connsiteX2" fmla="*/ 935156 w 938874"/>
            <a:gd name="connsiteY2" fmla="*/ 20 h 3342063"/>
            <a:gd name="connsiteX3" fmla="*/ 369328 w 938874"/>
            <a:gd name="connsiteY3" fmla="*/ 1271534 h 3342063"/>
            <a:gd name="connsiteX4" fmla="*/ 13 w 938874"/>
            <a:gd name="connsiteY4" fmla="*/ 3310755 h 3342063"/>
            <a:gd name="connsiteX0" fmla="*/ 23 w 939744"/>
            <a:gd name="connsiteY0" fmla="*/ 3310816 h 3351420"/>
            <a:gd name="connsiteX1" fmla="*/ 23 w 939744"/>
            <a:gd name="connsiteY1" fmla="*/ 80 h 3351420"/>
            <a:gd name="connsiteX2" fmla="*/ 935166 w 939744"/>
            <a:gd name="connsiteY2" fmla="*/ 81 h 3351420"/>
            <a:gd name="connsiteX3" fmla="*/ 369338 w 939744"/>
            <a:gd name="connsiteY3" fmla="*/ 1271595 h 3351420"/>
            <a:gd name="connsiteX4" fmla="*/ 23 w 939744"/>
            <a:gd name="connsiteY4" fmla="*/ 3310816 h 33514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39744" h="3351420">
              <a:moveTo>
                <a:pt x="23" y="3310816"/>
              </a:moveTo>
              <a:lnTo>
                <a:pt x="23" y="80"/>
              </a:lnTo>
              <a:lnTo>
                <a:pt x="935166" y="81"/>
              </a:lnTo>
              <a:cubicBezTo>
                <a:pt x="982601" y="-3917"/>
                <a:pt x="652252" y="136029"/>
                <a:pt x="369338" y="1271595"/>
              </a:cubicBezTo>
              <a:cubicBezTo>
                <a:pt x="86424" y="2407161"/>
                <a:pt x="-1672" y="3586711"/>
                <a:pt x="23" y="3310816"/>
              </a:cubicBezTo>
              <a:close/>
            </a:path>
          </a:pathLst>
        </a:custGeom>
        <a:solidFill>
          <a:schemeClr val="accent5">
            <a:lumMod val="60000"/>
            <a:lumOff val="40000"/>
            <a:alpha val="2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                             </a:t>
          </a:r>
        </a:p>
      </xdr:txBody>
    </xdr:sp>
    <xdr:clientData/>
  </xdr:twoCellAnchor>
  <xdr:oneCellAnchor>
    <xdr:from>
      <xdr:col>0</xdr:col>
      <xdr:colOff>172403</xdr:colOff>
      <xdr:row>24</xdr:row>
      <xdr:rowOff>39053</xdr:rowOff>
    </xdr:from>
    <xdr:ext cx="188595" cy="188595"/>
    <xdr:pic>
      <xdr:nvPicPr>
        <xdr:cNvPr id="21" name="Graphic 20" descr="Web design with solid fill">
          <a:extLst>
            <a:ext uri="{FF2B5EF4-FFF2-40B4-BE49-F238E27FC236}">
              <a16:creationId xmlns:a16="http://schemas.microsoft.com/office/drawing/2014/main" id="{2B83B9B1-5FB3-4B74-926A-7C50DD5196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3763328"/>
          <a:ext cx="188595" cy="188595"/>
        </a:xfrm>
        <a:prstGeom prst="rect">
          <a:avLst/>
        </a:prstGeom>
      </xdr:spPr>
    </xdr:pic>
    <xdr:clientData/>
  </xdr:oneCellAnchor>
  <xdr:oneCellAnchor>
    <xdr:from>
      <xdr:col>0</xdr:col>
      <xdr:colOff>172403</xdr:colOff>
      <xdr:row>25</xdr:row>
      <xdr:rowOff>39053</xdr:rowOff>
    </xdr:from>
    <xdr:ext cx="188595" cy="188595"/>
    <xdr:pic>
      <xdr:nvPicPr>
        <xdr:cNvPr id="23" name="Graphic 22" descr="Web design with solid fill">
          <a:extLst>
            <a:ext uri="{FF2B5EF4-FFF2-40B4-BE49-F238E27FC236}">
              <a16:creationId xmlns:a16="http://schemas.microsoft.com/office/drawing/2014/main" id="{7C9DCFE6-1B97-44C0-B863-2158612DBC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3991928"/>
          <a:ext cx="188595" cy="188595"/>
        </a:xfrm>
        <a:prstGeom prst="rect">
          <a:avLst/>
        </a:prstGeom>
      </xdr:spPr>
    </xdr:pic>
    <xdr:clientData/>
  </xdr:oneCellAnchor>
  <xdr:oneCellAnchor>
    <xdr:from>
      <xdr:col>0</xdr:col>
      <xdr:colOff>172403</xdr:colOff>
      <xdr:row>23</xdr:row>
      <xdr:rowOff>39053</xdr:rowOff>
    </xdr:from>
    <xdr:ext cx="188595" cy="188595"/>
    <xdr:pic>
      <xdr:nvPicPr>
        <xdr:cNvPr id="24" name="Graphic 23" descr="Web design with solid fill">
          <a:extLst>
            <a:ext uri="{FF2B5EF4-FFF2-40B4-BE49-F238E27FC236}">
              <a16:creationId xmlns:a16="http://schemas.microsoft.com/office/drawing/2014/main" id="{E5C612E0-92D7-4CF9-B272-F6F9BDE088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3534728"/>
          <a:ext cx="188595" cy="188595"/>
        </a:xfrm>
        <a:prstGeom prst="rect">
          <a:avLst/>
        </a:prstGeom>
      </xdr:spPr>
    </xdr:pic>
    <xdr:clientData/>
  </xdr:oneCellAnchor>
  <xdr:oneCellAnchor>
    <xdr:from>
      <xdr:col>1</xdr:col>
      <xdr:colOff>429600</xdr:colOff>
      <xdr:row>37</xdr:row>
      <xdr:rowOff>10500</xdr:rowOff>
    </xdr:from>
    <xdr:ext cx="180000" cy="180000"/>
    <xdr:pic>
      <xdr:nvPicPr>
        <xdr:cNvPr id="25" name="Graphic 24" descr="Factory with solid fill">
          <a:extLst>
            <a:ext uri="{FF2B5EF4-FFF2-40B4-BE49-F238E27FC236}">
              <a16:creationId xmlns:a16="http://schemas.microsoft.com/office/drawing/2014/main" id="{EF0468B5-FB1C-4344-953E-A8EE7C22C98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10600" y="7735275"/>
          <a:ext cx="180000" cy="180000"/>
        </a:xfrm>
        <a:prstGeom prst="rect">
          <a:avLst/>
        </a:prstGeom>
      </xdr:spPr>
    </xdr:pic>
    <xdr:clientData/>
  </xdr:oneCellAnchor>
  <xdr:oneCellAnchor>
    <xdr:from>
      <xdr:col>1</xdr:col>
      <xdr:colOff>429600</xdr:colOff>
      <xdr:row>34</xdr:row>
      <xdr:rowOff>10500</xdr:rowOff>
    </xdr:from>
    <xdr:ext cx="180000" cy="180000"/>
    <xdr:pic>
      <xdr:nvPicPr>
        <xdr:cNvPr id="26" name="Graphic 25" descr="Factory with solid fill">
          <a:extLst>
            <a:ext uri="{FF2B5EF4-FFF2-40B4-BE49-F238E27FC236}">
              <a16:creationId xmlns:a16="http://schemas.microsoft.com/office/drawing/2014/main" id="{C2A91F4F-141A-401D-9236-77E65CEE29C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10600" y="7297125"/>
          <a:ext cx="180000" cy="180000"/>
        </a:xfrm>
        <a:prstGeom prst="rect">
          <a:avLst/>
        </a:prstGeom>
      </xdr:spPr>
    </xdr:pic>
    <xdr:clientData/>
  </xdr:oneCellAnchor>
  <xdr:oneCellAnchor>
    <xdr:from>
      <xdr:col>7</xdr:col>
      <xdr:colOff>401025</xdr:colOff>
      <xdr:row>6</xdr:row>
      <xdr:rowOff>20025</xdr:rowOff>
    </xdr:from>
    <xdr:ext cx="180000" cy="180000"/>
    <xdr:pic>
      <xdr:nvPicPr>
        <xdr:cNvPr id="27" name="Graphic 26" descr="Receiver with solid fill">
          <a:extLst>
            <a:ext uri="{FF2B5EF4-FFF2-40B4-BE49-F238E27FC236}">
              <a16:creationId xmlns:a16="http://schemas.microsoft.com/office/drawing/2014/main" id="{9FB67FE3-4B72-4173-89E0-92A7AFC82C3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439625" y="877275"/>
          <a:ext cx="180000" cy="180000"/>
        </a:xfrm>
        <a:prstGeom prst="rect">
          <a:avLst/>
        </a:prstGeom>
      </xdr:spPr>
    </xdr:pic>
    <xdr:clientData/>
  </xdr:oneCellAnchor>
  <xdr:oneCellAnchor>
    <xdr:from>
      <xdr:col>7</xdr:col>
      <xdr:colOff>401025</xdr:colOff>
      <xdr:row>7</xdr:row>
      <xdr:rowOff>29550</xdr:rowOff>
    </xdr:from>
    <xdr:ext cx="180000" cy="180000"/>
    <xdr:pic>
      <xdr:nvPicPr>
        <xdr:cNvPr id="28" name="Graphic 27" descr="Email with solid fill">
          <a:extLst>
            <a:ext uri="{FF2B5EF4-FFF2-40B4-BE49-F238E27FC236}">
              <a16:creationId xmlns:a16="http://schemas.microsoft.com/office/drawing/2014/main" id="{963F9361-A631-4088-973B-E1FA56D62FF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4439625" y="1115400"/>
          <a:ext cx="180000" cy="180000"/>
        </a:xfrm>
        <a:prstGeom prst="rect">
          <a:avLst/>
        </a:prstGeom>
      </xdr:spPr>
    </xdr:pic>
    <xdr:clientData/>
  </xdr:oneCellAnchor>
  <xdr:oneCellAnchor>
    <xdr:from>
      <xdr:col>0</xdr:col>
      <xdr:colOff>79130</xdr:colOff>
      <xdr:row>0</xdr:row>
      <xdr:rowOff>66770</xdr:rowOff>
    </xdr:from>
    <xdr:ext cx="1371602" cy="1347326"/>
    <xdr:pic>
      <xdr:nvPicPr>
        <xdr:cNvPr id="35" name="Picture 3" descr="A person smiling for a picture&#10;&#10;Description automatically generated">
          <a:extLst>
            <a:ext uri="{FF2B5EF4-FFF2-40B4-BE49-F238E27FC236}">
              <a16:creationId xmlns:a16="http://schemas.microsoft.com/office/drawing/2014/main" id="{49BFC733-7F8D-47FC-BD9A-3DB045F0DC98}"/>
            </a:ext>
          </a:extLst>
        </xdr:cNvPr>
        <xdr:cNvPicPr>
          <a:picLocks noChangeAspect="1" noChangeArrowheads="1"/>
        </xdr:cNvPicPr>
      </xdr:nvPicPr>
      <xdr:blipFill rotWithShape="1">
        <a:blip xmlns:r="http://schemas.openxmlformats.org/officeDocument/2006/relationships" r:embed="rId21" cstate="screen">
          <a:extLst>
            <a:ext uri="{BEBA8EAE-BF5A-486C-A8C5-ECC9F3942E4B}">
              <a14:imgProps xmlns:a14="http://schemas.microsoft.com/office/drawing/2010/main">
                <a14:imgLayer r:embed="rId22">
                  <a14:imgEffect>
                    <a14:backgroundRemoval t="3077" b="100000" l="2985" r="96642">
                      <a14:foregroundMark x1="35448" y1="7692" x2="64179" y2="8462"/>
                      <a14:foregroundMark x1="48881" y1="3077" x2="48881" y2="3077"/>
                      <a14:foregroundMark x1="64179" y1="92692" x2="64179" y2="92692"/>
                      <a14:foregroundMark x1="70149" y1="91154" x2="68284" y2="99615"/>
                      <a14:foregroundMark x1="31716" y1="83462" x2="57463" y2="99615"/>
                      <a14:foregroundMark x1="75000" y1="85769" x2="75000" y2="99615"/>
                      <a14:foregroundMark x1="73507" y1="83077" x2="86940" y2="99615"/>
                      <a14:foregroundMark x1="89925" y1="91923" x2="92164" y2="93077"/>
                      <a14:foregroundMark x1="94030" y1="88846" x2="93657" y2="99615"/>
                      <a14:foregroundMark x1="27239" y1="86538" x2="36567" y2="99615"/>
                      <a14:foregroundMark x1="23134" y1="85000" x2="3731" y2="93077"/>
                      <a14:foregroundMark x1="96642" y1="93077" x2="96642" y2="99615"/>
                    </a14:backgroundRemoval>
                  </a14:imgEffect>
                  <a14:imgEffect>
                    <a14:sharpenSoften amount="51000"/>
                  </a14:imgEffect>
                  <a14:imgEffect>
                    <a14:colorTemperature colorTemp="5900"/>
                  </a14:imgEffect>
                  <a14:imgEffect>
                    <a14:brightnessContrast bright="20000"/>
                  </a14:imgEffect>
                </a14:imgLayer>
              </a14:imgProps>
            </a:ext>
            <a:ext uri="{28A0092B-C50C-407E-A947-70E740481C1C}">
              <a14:useLocalDpi xmlns:a14="http://schemas.microsoft.com/office/drawing/2010/main"/>
            </a:ext>
          </a:extLst>
        </a:blip>
        <a:srcRect/>
        <a:stretch/>
      </xdr:blipFill>
      <xdr:spPr bwMode="auto">
        <a:xfrm>
          <a:off x="79130" y="66770"/>
          <a:ext cx="1371602" cy="1347326"/>
        </a:xfrm>
        <a:prstGeom prst="rect">
          <a:avLst/>
        </a:prstGeom>
        <a:ln>
          <a:noFill/>
        </a:ln>
        <a:effectLst>
          <a:outerShdw blurRad="101600" dir="1560000" sx="99000" sy="99000" algn="tl" rotWithShape="0">
            <a:schemeClr val="tx1">
              <a:lumMod val="95000"/>
              <a:lumOff val="5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172403</xdr:colOff>
      <xdr:row>22</xdr:row>
      <xdr:rowOff>39053</xdr:rowOff>
    </xdr:from>
    <xdr:ext cx="188595" cy="188595"/>
    <xdr:pic>
      <xdr:nvPicPr>
        <xdr:cNvPr id="2" name="Graphic 1" descr="Web design with solid fill">
          <a:extLst>
            <a:ext uri="{FF2B5EF4-FFF2-40B4-BE49-F238E27FC236}">
              <a16:creationId xmlns:a16="http://schemas.microsoft.com/office/drawing/2014/main" id="{014575E8-982A-4D2C-BF74-424A7D24CC9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flipH="1">
          <a:off x="172403" y="3438745"/>
          <a:ext cx="188595" cy="18859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8</xdr:col>
      <xdr:colOff>336340</xdr:colOff>
      <xdr:row>1</xdr:row>
      <xdr:rowOff>1</xdr:rowOff>
    </xdr:from>
    <xdr:ext cx="1089992" cy="1289538"/>
    <xdr:pic>
      <xdr:nvPicPr>
        <xdr:cNvPr id="27" name="Picture 3">
          <a:extLst>
            <a:ext uri="{FF2B5EF4-FFF2-40B4-BE49-F238E27FC236}">
              <a16:creationId xmlns:a16="http://schemas.microsoft.com/office/drawing/2014/main" id="{3BF55223-736F-42D0-AC41-CF958302D756}"/>
            </a:ext>
          </a:extLst>
        </xdr:cNvPr>
        <xdr:cNvPicPr>
          <a:picLocks noChangeAspect="1" noChangeArrowheads="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a:ext>
          </a:extLst>
        </a:blip>
        <a:srcRect/>
        <a:stretch/>
      </xdr:blipFill>
      <xdr:spPr bwMode="auto">
        <a:xfrm>
          <a:off x="5135475" y="190501"/>
          <a:ext cx="1089992" cy="1289538"/>
        </a:xfrm>
        <a:prstGeom prst="rect">
          <a:avLst/>
        </a:prstGeom>
        <a:ln>
          <a:noFill/>
        </a:ln>
        <a:effectLst>
          <a:outerShdw blurRad="101600" dir="1560000" sx="99000" sy="99000" algn="tl" rotWithShape="0">
            <a:schemeClr val="accent5">
              <a:lumMod val="60000"/>
              <a:lumOff val="40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190500</xdr:colOff>
      <xdr:row>0</xdr:row>
      <xdr:rowOff>58616</xdr:rowOff>
    </xdr:from>
    <xdr:to>
      <xdr:col>1</xdr:col>
      <xdr:colOff>776654</xdr:colOff>
      <xdr:row>4</xdr:row>
      <xdr:rowOff>7327</xdr:rowOff>
    </xdr:to>
    <xdr:pic>
      <xdr:nvPicPr>
        <xdr:cNvPr id="33" name="Picture 32" descr="A logo of a person sitting at a computer&#10;&#10;Description automatically generated">
          <a:extLst>
            <a:ext uri="{FF2B5EF4-FFF2-40B4-BE49-F238E27FC236}">
              <a16:creationId xmlns:a16="http://schemas.microsoft.com/office/drawing/2014/main" id="{D68CFDE9-5D67-0C0B-AF7F-0B3DC39AB312}"/>
            </a:ext>
          </a:extLst>
        </xdr:cNvPr>
        <xdr:cNvPicPr>
          <a:picLocks noChangeAspect="1"/>
        </xdr:cNvPicPr>
      </xdr:nvPicPr>
      <xdr:blipFill>
        <a:blip xmlns:r="http://schemas.openxmlformats.org/officeDocument/2006/relationships" r:embed="rId3" cstate="screen">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90500" y="58616"/>
          <a:ext cx="835269" cy="83526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8</xdr:col>
      <xdr:colOff>336340</xdr:colOff>
      <xdr:row>1</xdr:row>
      <xdr:rowOff>1</xdr:rowOff>
    </xdr:from>
    <xdr:ext cx="1089992" cy="1289538"/>
    <xdr:pic>
      <xdr:nvPicPr>
        <xdr:cNvPr id="2" name="Picture 3">
          <a:extLst>
            <a:ext uri="{FF2B5EF4-FFF2-40B4-BE49-F238E27FC236}">
              <a16:creationId xmlns:a16="http://schemas.microsoft.com/office/drawing/2014/main" id="{510E6005-289F-4F16-846B-25AF467C5549}"/>
            </a:ext>
          </a:extLst>
        </xdr:cNvPr>
        <xdr:cNvPicPr>
          <a:picLocks noChangeAspect="1" noChangeArrowheads="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contrast="20000"/>
                  </a14:imgEffect>
                </a14:imgLayer>
              </a14:imgProps>
            </a:ext>
            <a:ext uri="{28A0092B-C50C-407E-A947-70E740481C1C}">
              <a14:useLocalDpi xmlns:a14="http://schemas.microsoft.com/office/drawing/2010/main"/>
            </a:ext>
          </a:extLst>
        </a:blip>
        <a:srcRect/>
        <a:stretch/>
      </xdr:blipFill>
      <xdr:spPr bwMode="auto">
        <a:xfrm>
          <a:off x="5013115" y="190501"/>
          <a:ext cx="1089992" cy="1289538"/>
        </a:xfrm>
        <a:prstGeom prst="rect">
          <a:avLst/>
        </a:prstGeom>
        <a:ln>
          <a:noFill/>
        </a:ln>
        <a:effectLst>
          <a:outerShdw blurRad="101600" dir="1560000" sx="99000" sy="99000" algn="tl" rotWithShape="0">
            <a:schemeClr val="accent5">
              <a:lumMod val="60000"/>
              <a:lumOff val="40000"/>
              <a:alpha val="70000"/>
            </a:schemeClr>
          </a:outerShdw>
        </a:effectLst>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168519</xdr:colOff>
      <xdr:row>0</xdr:row>
      <xdr:rowOff>47626</xdr:rowOff>
    </xdr:from>
    <xdr:to>
      <xdr:col>1</xdr:col>
      <xdr:colOff>754673</xdr:colOff>
      <xdr:row>3</xdr:row>
      <xdr:rowOff>194164</xdr:rowOff>
    </xdr:to>
    <xdr:pic>
      <xdr:nvPicPr>
        <xdr:cNvPr id="3" name="Picture 2" descr="A logo of a person sitting at a computer&#10;&#10;Description automatically generated">
          <a:extLst>
            <a:ext uri="{FF2B5EF4-FFF2-40B4-BE49-F238E27FC236}">
              <a16:creationId xmlns:a16="http://schemas.microsoft.com/office/drawing/2014/main" id="{FB17CCE3-54D0-4F3F-B939-E41212577FCC}"/>
            </a:ext>
          </a:extLst>
        </xdr:cNvPr>
        <xdr:cNvPicPr>
          <a:picLocks noChangeAspect="1"/>
        </xdr:cNvPicPr>
      </xdr:nvPicPr>
      <xdr:blipFill>
        <a:blip xmlns:r="http://schemas.openxmlformats.org/officeDocument/2006/relationships" r:embed="rId3" cstate="screen">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68519" y="47626"/>
          <a:ext cx="833804" cy="832338"/>
        </a:xfrm>
        <a:prstGeom prst="rect">
          <a:avLst/>
        </a:prstGeom>
      </xdr:spPr>
    </xdr:pic>
    <xdr:clientData/>
  </xdr:twoCellAnchor>
  <xdr:twoCellAnchor editAs="oneCell">
    <xdr:from>
      <xdr:col>14</xdr:col>
      <xdr:colOff>161925</xdr:colOff>
      <xdr:row>0</xdr:row>
      <xdr:rowOff>47625</xdr:rowOff>
    </xdr:from>
    <xdr:to>
      <xdr:col>15</xdr:col>
      <xdr:colOff>751010</xdr:colOff>
      <xdr:row>3</xdr:row>
      <xdr:rowOff>196361</xdr:rowOff>
    </xdr:to>
    <xdr:pic>
      <xdr:nvPicPr>
        <xdr:cNvPr id="4" name="Picture 3" descr="A logo of a person sitting at a computer&#10;&#10;Description automatically generated">
          <a:extLst>
            <a:ext uri="{FF2B5EF4-FFF2-40B4-BE49-F238E27FC236}">
              <a16:creationId xmlns:a16="http://schemas.microsoft.com/office/drawing/2014/main" id="{C2310EF0-47A1-44E6-997C-02046B6AD81B}"/>
            </a:ext>
          </a:extLst>
        </xdr:cNvPr>
        <xdr:cNvPicPr>
          <a:picLocks noChangeAspect="1"/>
        </xdr:cNvPicPr>
      </xdr:nvPicPr>
      <xdr:blipFill>
        <a:blip xmlns:r="http://schemas.openxmlformats.org/officeDocument/2006/relationships" r:embed="rId4" cstate="screen">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7810500" y="47625"/>
          <a:ext cx="836735" cy="8345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rw-gh.github.io/final-project-wd020/" TargetMode="External"/><Relationship Id="rId2" Type="http://schemas.openxmlformats.org/officeDocument/2006/relationships/hyperlink" Target="mailto:victor.wright@outlook.de" TargetMode="External"/><Relationship Id="rId1" Type="http://schemas.openxmlformats.org/officeDocument/2006/relationships/hyperlink" Target="http://vrw-gh.github.io/vrw-GH"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jserranopaul@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linkedin.com/in/victor-r-wright" TargetMode="External"/><Relationship Id="rId7" Type="http://schemas.openxmlformats.org/officeDocument/2006/relationships/hyperlink" Target="mailto:jorge.paul@wbscodingschool.com" TargetMode="External"/><Relationship Id="rId2" Type="http://schemas.openxmlformats.org/officeDocument/2006/relationships/hyperlink" Target="http://vrw-gh.github.io/final-project-wd020" TargetMode="External"/><Relationship Id="rId1" Type="http://schemas.openxmlformats.org/officeDocument/2006/relationships/hyperlink" Target="http://vrw-gh.github.io/vrw-GH" TargetMode="External"/><Relationship Id="rId6" Type="http://schemas.openxmlformats.org/officeDocument/2006/relationships/hyperlink" Target="mailto:jserranopaul@gmail.com" TargetMode="External"/><Relationship Id="rId5" Type="http://schemas.openxmlformats.org/officeDocument/2006/relationships/hyperlink" Target="http://www.sunbird.lk/" TargetMode="External"/><Relationship Id="rId4" Type="http://schemas.openxmlformats.org/officeDocument/2006/relationships/hyperlink" Target="mailto:victor.wright@outlook.d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linkedin.com/in/victor-r-wright" TargetMode="External"/><Relationship Id="rId7" Type="http://schemas.openxmlformats.org/officeDocument/2006/relationships/hyperlink" Target="mailto:jorge.paul@wbscodingschool.com" TargetMode="External"/><Relationship Id="rId2" Type="http://schemas.openxmlformats.org/officeDocument/2006/relationships/hyperlink" Target="http://vrw-gh.github.io/final-project-wd020" TargetMode="External"/><Relationship Id="rId1" Type="http://schemas.openxmlformats.org/officeDocument/2006/relationships/hyperlink" Target="http://vrw-gh.github.io/vrw-GH" TargetMode="External"/><Relationship Id="rId6" Type="http://schemas.openxmlformats.org/officeDocument/2006/relationships/hyperlink" Target="mailto:jserranopaul@gmail.com" TargetMode="External"/><Relationship Id="rId5" Type="http://schemas.openxmlformats.org/officeDocument/2006/relationships/hyperlink" Target="http://www.sunbird.lk/" TargetMode="External"/><Relationship Id="rId4" Type="http://schemas.openxmlformats.org/officeDocument/2006/relationships/hyperlink" Target="mailto:victor.wright@outlook.d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hyperlink" Target="http://vrw-gh.github.io/final-project-wd020" TargetMode="External"/><Relationship Id="rId13" Type="http://schemas.openxmlformats.org/officeDocument/2006/relationships/hyperlink" Target="mailto:jserranopaul@gmail.com" TargetMode="External"/><Relationship Id="rId18" Type="http://schemas.openxmlformats.org/officeDocument/2006/relationships/hyperlink" Target="http://vrw-gh.github.io/final-project-wd020" TargetMode="External"/><Relationship Id="rId3" Type="http://schemas.openxmlformats.org/officeDocument/2006/relationships/hyperlink" Target="mailto:victor.wright@outlook.de" TargetMode="External"/><Relationship Id="rId21" Type="http://schemas.openxmlformats.org/officeDocument/2006/relationships/hyperlink" Target="http://vrw-gh.github.io/final-project-wd020" TargetMode="External"/><Relationship Id="rId7" Type="http://schemas.openxmlformats.org/officeDocument/2006/relationships/hyperlink" Target="http://vrw-gh.github.io/final-project-wd020" TargetMode="External"/><Relationship Id="rId12" Type="http://schemas.openxmlformats.org/officeDocument/2006/relationships/hyperlink" Target="http://www.sunbird.lk/" TargetMode="External"/><Relationship Id="rId17" Type="http://schemas.openxmlformats.org/officeDocument/2006/relationships/hyperlink" Target="https://vrw-gh.github.io/sanskara/" TargetMode="External"/><Relationship Id="rId2" Type="http://schemas.openxmlformats.org/officeDocument/2006/relationships/hyperlink" Target="http://www.linkedin.com/in/victor-r-wright" TargetMode="External"/><Relationship Id="rId16" Type="http://schemas.openxmlformats.org/officeDocument/2006/relationships/hyperlink" Target="http://vrw-gh.github.io/final-project-wd020" TargetMode="External"/><Relationship Id="rId20" Type="http://schemas.openxmlformats.org/officeDocument/2006/relationships/hyperlink" Target="http://vrw-gh.github.io/final-project-wd020" TargetMode="External"/><Relationship Id="rId1" Type="http://schemas.openxmlformats.org/officeDocument/2006/relationships/hyperlink" Target="http://vrw-gh.github.io/vrw-GH" TargetMode="External"/><Relationship Id="rId6" Type="http://schemas.openxmlformats.org/officeDocument/2006/relationships/hyperlink" Target="mailto:jorge.paul@wbscodingschool.com" TargetMode="External"/><Relationship Id="rId11" Type="http://schemas.openxmlformats.org/officeDocument/2006/relationships/hyperlink" Target="https://vrw-gh.github.io/sharemyfood-backend" TargetMode="External"/><Relationship Id="rId5" Type="http://schemas.openxmlformats.org/officeDocument/2006/relationships/hyperlink" Target="mailto:jserranopaul@gmail.com" TargetMode="External"/><Relationship Id="rId15" Type="http://schemas.openxmlformats.org/officeDocument/2006/relationships/hyperlink" Target="http://vrw-gh.github.io/final-project-wd020" TargetMode="External"/><Relationship Id="rId23" Type="http://schemas.openxmlformats.org/officeDocument/2006/relationships/drawing" Target="../drawings/drawing4.xml"/><Relationship Id="rId10" Type="http://schemas.openxmlformats.org/officeDocument/2006/relationships/hyperlink" Target="http://vrw-gh.github.io/final-project-wd020" TargetMode="External"/><Relationship Id="rId19" Type="http://schemas.openxmlformats.org/officeDocument/2006/relationships/hyperlink" Target="https://vrw-gh.github.io/sharemyfood-backend/" TargetMode="External"/><Relationship Id="rId4" Type="http://schemas.openxmlformats.org/officeDocument/2006/relationships/hyperlink" Target="http://www.sunbird.lk/" TargetMode="External"/><Relationship Id="rId9" Type="http://schemas.openxmlformats.org/officeDocument/2006/relationships/hyperlink" Target="https://vrw-gh.github.io/sanskara" TargetMode="External"/><Relationship Id="rId14" Type="http://schemas.openxmlformats.org/officeDocument/2006/relationships/hyperlink" Target="mailto:jorge.paul@wbscodingschool.com" TargetMode="External"/><Relationship Id="rId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vrw-gh.github.io/final-project-wd020" TargetMode="External"/><Relationship Id="rId13" Type="http://schemas.openxmlformats.org/officeDocument/2006/relationships/printerSettings" Target="../printerSettings/printerSettings5.bin"/><Relationship Id="rId3" Type="http://schemas.openxmlformats.org/officeDocument/2006/relationships/hyperlink" Target="mailto:victor.wright@outlook.de" TargetMode="External"/><Relationship Id="rId7" Type="http://schemas.openxmlformats.org/officeDocument/2006/relationships/hyperlink" Target="http://vrw-gh.github.io/final-project-wd020" TargetMode="External"/><Relationship Id="rId12" Type="http://schemas.openxmlformats.org/officeDocument/2006/relationships/hyperlink" Target="http://vrw-gh.github.io/final-project-wd020" TargetMode="External"/><Relationship Id="rId2" Type="http://schemas.openxmlformats.org/officeDocument/2006/relationships/hyperlink" Target="http://www.linkedin.com/in/victor-r-wright" TargetMode="External"/><Relationship Id="rId1" Type="http://schemas.openxmlformats.org/officeDocument/2006/relationships/hyperlink" Target="http://vrw-gh.github.io/vrw-GH" TargetMode="External"/><Relationship Id="rId6" Type="http://schemas.openxmlformats.org/officeDocument/2006/relationships/hyperlink" Target="mailto:jorge.paul@wbscodingschool.com" TargetMode="External"/><Relationship Id="rId11" Type="http://schemas.openxmlformats.org/officeDocument/2006/relationships/hyperlink" Target="https://vrw-gh.github.io/sharemyfood-backend" TargetMode="External"/><Relationship Id="rId5" Type="http://schemas.openxmlformats.org/officeDocument/2006/relationships/hyperlink" Target="mailto:jserranopaul@gmail.com" TargetMode="External"/><Relationship Id="rId10" Type="http://schemas.openxmlformats.org/officeDocument/2006/relationships/hyperlink" Target="http://vrw-gh.github.io/final-project-wd020" TargetMode="External"/><Relationship Id="rId4" Type="http://schemas.openxmlformats.org/officeDocument/2006/relationships/hyperlink" Target="http://www.sunbird.lk/" TargetMode="External"/><Relationship Id="rId9" Type="http://schemas.openxmlformats.org/officeDocument/2006/relationships/hyperlink" Target="https://vrw-gh.github.io/sanskara" TargetMode="External"/><Relationship Id="rId1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hyperlink" Target="http://vrw-gh.github.io/final-project-wd020" TargetMode="External"/><Relationship Id="rId13" Type="http://schemas.openxmlformats.org/officeDocument/2006/relationships/printerSettings" Target="../printerSettings/printerSettings6.bin"/><Relationship Id="rId3" Type="http://schemas.openxmlformats.org/officeDocument/2006/relationships/hyperlink" Target="mailto:victor.wright@outlook.de" TargetMode="External"/><Relationship Id="rId7" Type="http://schemas.openxmlformats.org/officeDocument/2006/relationships/hyperlink" Target="http://vrw-gh.github.io/final-project-wd020" TargetMode="External"/><Relationship Id="rId12" Type="http://schemas.openxmlformats.org/officeDocument/2006/relationships/hyperlink" Target="http://vrw-gh.github.io/final-project-wd020" TargetMode="External"/><Relationship Id="rId2" Type="http://schemas.openxmlformats.org/officeDocument/2006/relationships/hyperlink" Target="http://www.linkedin.com/in/victor-r-wright" TargetMode="External"/><Relationship Id="rId1" Type="http://schemas.openxmlformats.org/officeDocument/2006/relationships/hyperlink" Target="http://vrw-gh.github.io/vrw-GH" TargetMode="External"/><Relationship Id="rId6" Type="http://schemas.openxmlformats.org/officeDocument/2006/relationships/hyperlink" Target="mailto:jorge.paul@wbscodingschool.com" TargetMode="External"/><Relationship Id="rId11" Type="http://schemas.openxmlformats.org/officeDocument/2006/relationships/hyperlink" Target="https://vrw-gh.github.io/sharemyfood-backend" TargetMode="External"/><Relationship Id="rId5" Type="http://schemas.openxmlformats.org/officeDocument/2006/relationships/hyperlink" Target="mailto:jserranopaul@gmail.com" TargetMode="External"/><Relationship Id="rId10" Type="http://schemas.openxmlformats.org/officeDocument/2006/relationships/hyperlink" Target="http://vrw-gh.github.io/final-project-wd020" TargetMode="External"/><Relationship Id="rId4" Type="http://schemas.openxmlformats.org/officeDocument/2006/relationships/hyperlink" Target="http://www.sunbird.lk/" TargetMode="External"/><Relationship Id="rId9" Type="http://schemas.openxmlformats.org/officeDocument/2006/relationships/hyperlink" Target="https://vrw-gh.github.io/sanskara"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hyperlink" Target="mailto:victor.wright@outlook.de" TargetMode="External"/><Relationship Id="rId13" Type="http://schemas.openxmlformats.org/officeDocument/2006/relationships/drawing" Target="../drawings/drawing7.xml"/><Relationship Id="rId3" Type="http://schemas.openxmlformats.org/officeDocument/2006/relationships/hyperlink" Target="http://www.wrightsdesk.com/" TargetMode="External"/><Relationship Id="rId7" Type="http://schemas.openxmlformats.org/officeDocument/2006/relationships/hyperlink" Target="https://vrw-gh.github.io/sanskara" TargetMode="External"/><Relationship Id="rId12" Type="http://schemas.openxmlformats.org/officeDocument/2006/relationships/printerSettings" Target="../printerSettings/printerSettings7.bin"/><Relationship Id="rId2" Type="http://schemas.openxmlformats.org/officeDocument/2006/relationships/hyperlink" Target="http://vrw-gh.github.io/vrw-GH" TargetMode="External"/><Relationship Id="rId1" Type="http://schemas.openxmlformats.org/officeDocument/2006/relationships/hyperlink" Target="http://www.linkedin.com/in/victor-r-wright" TargetMode="External"/><Relationship Id="rId6" Type="http://schemas.openxmlformats.org/officeDocument/2006/relationships/hyperlink" Target="https://vrw-gh.github.io/sharemyfood-backend" TargetMode="External"/><Relationship Id="rId11" Type="http://schemas.openxmlformats.org/officeDocument/2006/relationships/hyperlink" Target="https://vrw-gh.github.io/drmuellers1969" TargetMode="External"/><Relationship Id="rId5" Type="http://schemas.openxmlformats.org/officeDocument/2006/relationships/hyperlink" Target="https://vrw-gh.github.io/WD-Home" TargetMode="External"/><Relationship Id="rId10" Type="http://schemas.openxmlformats.org/officeDocument/2006/relationships/hyperlink" Target="https://vrw-gh.github.io/jfalanka" TargetMode="External"/><Relationship Id="rId4" Type="http://schemas.openxmlformats.org/officeDocument/2006/relationships/hyperlink" Target="http://vrw-gh.github.io/final-project-wd020" TargetMode="External"/><Relationship Id="rId9" Type="http://schemas.openxmlformats.org/officeDocument/2006/relationships/hyperlink" Target="tel:+491764677427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victor.wright@outlook.de" TargetMode="External"/><Relationship Id="rId13" Type="http://schemas.openxmlformats.org/officeDocument/2006/relationships/hyperlink" Target="https://vrw-gh.github.io/jfalanka" TargetMode="External"/><Relationship Id="rId3" Type="http://schemas.openxmlformats.org/officeDocument/2006/relationships/hyperlink" Target="http://www.wrightsdesk.com/" TargetMode="External"/><Relationship Id="rId7" Type="http://schemas.openxmlformats.org/officeDocument/2006/relationships/hyperlink" Target="https://vrw-gh.github.io/sanskara" TargetMode="External"/><Relationship Id="rId12" Type="http://schemas.openxmlformats.org/officeDocument/2006/relationships/hyperlink" Target="https://vrw-gh.github.io/drmuellers1969" TargetMode="External"/><Relationship Id="rId2" Type="http://schemas.openxmlformats.org/officeDocument/2006/relationships/hyperlink" Target="http://vrw-gh.github.io/vrw-GH" TargetMode="External"/><Relationship Id="rId1" Type="http://schemas.openxmlformats.org/officeDocument/2006/relationships/hyperlink" Target="http://www.linkedin.com/in/victor-r-wright" TargetMode="External"/><Relationship Id="rId6" Type="http://schemas.openxmlformats.org/officeDocument/2006/relationships/hyperlink" Target="http://vrw-gh.github.io/sharemyfood-backend" TargetMode="External"/><Relationship Id="rId11" Type="http://schemas.openxmlformats.org/officeDocument/2006/relationships/hyperlink" Target="https://vrw-gh.github.io/php-emailer/" TargetMode="External"/><Relationship Id="rId5" Type="http://schemas.openxmlformats.org/officeDocument/2006/relationships/hyperlink" Target="https://vrw-gh.github.io/WD-Home" TargetMode="External"/><Relationship Id="rId15" Type="http://schemas.openxmlformats.org/officeDocument/2006/relationships/drawing" Target="../drawings/drawing8.xml"/><Relationship Id="rId10" Type="http://schemas.openxmlformats.org/officeDocument/2006/relationships/hyperlink" Target="https://vrw-gh.github.io/gotq-spa" TargetMode="External"/><Relationship Id="rId4" Type="http://schemas.openxmlformats.org/officeDocument/2006/relationships/hyperlink" Target="http://vrw-gh.github.io/final-project-wd020" TargetMode="External"/><Relationship Id="rId9" Type="http://schemas.openxmlformats.org/officeDocument/2006/relationships/hyperlink" Target="tel:+4917646774278" TargetMode="External"/><Relationship Id="rId1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mailto:victor.wright@outlook.de" TargetMode="External"/><Relationship Id="rId13" Type="http://schemas.openxmlformats.org/officeDocument/2006/relationships/hyperlink" Target="https://vrw-gh.github.io/jfalanka" TargetMode="External"/><Relationship Id="rId3" Type="http://schemas.openxmlformats.org/officeDocument/2006/relationships/hyperlink" Target="http://www.wrightsdesk.com/" TargetMode="External"/><Relationship Id="rId7" Type="http://schemas.openxmlformats.org/officeDocument/2006/relationships/hyperlink" Target="https://vrw-gh.github.io/sanskara" TargetMode="External"/><Relationship Id="rId12" Type="http://schemas.openxmlformats.org/officeDocument/2006/relationships/hyperlink" Target="https://vrw-gh.github.io/drmuellers1969" TargetMode="External"/><Relationship Id="rId2" Type="http://schemas.openxmlformats.org/officeDocument/2006/relationships/hyperlink" Target="http://vrw-gh.github.io/vrw-GH" TargetMode="External"/><Relationship Id="rId1" Type="http://schemas.openxmlformats.org/officeDocument/2006/relationships/hyperlink" Target="http://www.linkedin.com/in/victor-r-wright" TargetMode="External"/><Relationship Id="rId6" Type="http://schemas.openxmlformats.org/officeDocument/2006/relationships/hyperlink" Target="http://vrw-gh.github.io/sharemyfood-backend" TargetMode="External"/><Relationship Id="rId11" Type="http://schemas.openxmlformats.org/officeDocument/2006/relationships/hyperlink" Target="https://vrw-gh.github.io/php-emailer/" TargetMode="External"/><Relationship Id="rId5" Type="http://schemas.openxmlformats.org/officeDocument/2006/relationships/hyperlink" Target="https://vrw-gh.github.io/WD-Home" TargetMode="External"/><Relationship Id="rId15" Type="http://schemas.openxmlformats.org/officeDocument/2006/relationships/drawing" Target="../drawings/drawing9.xml"/><Relationship Id="rId10" Type="http://schemas.openxmlformats.org/officeDocument/2006/relationships/hyperlink" Target="https://vrw-gh.github.io/gotq-spa" TargetMode="External"/><Relationship Id="rId4" Type="http://schemas.openxmlformats.org/officeDocument/2006/relationships/hyperlink" Target="http://vrw-gh.github.io/final-project-wd020" TargetMode="External"/><Relationship Id="rId9" Type="http://schemas.openxmlformats.org/officeDocument/2006/relationships/hyperlink" Target="tel:+4917646774278" TargetMode="External"/><Relationship Id="rId1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victor.wright@outlook.de" TargetMode="External"/><Relationship Id="rId13" Type="http://schemas.openxmlformats.org/officeDocument/2006/relationships/hyperlink" Target="https://vrw-gh.github.io/jfalanka" TargetMode="External"/><Relationship Id="rId18" Type="http://schemas.openxmlformats.org/officeDocument/2006/relationships/drawing" Target="../drawings/drawing10.xml"/><Relationship Id="rId3" Type="http://schemas.openxmlformats.org/officeDocument/2006/relationships/hyperlink" Target="http://www.wrightsdesk.com/" TargetMode="External"/><Relationship Id="rId7" Type="http://schemas.openxmlformats.org/officeDocument/2006/relationships/hyperlink" Target="https://vrw-gh.github.io/sanskara" TargetMode="External"/><Relationship Id="rId12" Type="http://schemas.openxmlformats.org/officeDocument/2006/relationships/hyperlink" Target="https://vrw-gh.github.io/drmuellers1969" TargetMode="External"/><Relationship Id="rId17" Type="http://schemas.openxmlformats.org/officeDocument/2006/relationships/printerSettings" Target="../printerSettings/printerSettings10.bin"/><Relationship Id="rId2" Type="http://schemas.openxmlformats.org/officeDocument/2006/relationships/hyperlink" Target="http://vrw-gh.github.io/vrw-GH" TargetMode="External"/><Relationship Id="rId16" Type="http://schemas.openxmlformats.org/officeDocument/2006/relationships/hyperlink" Target="http://www.ignident.com/" TargetMode="External"/><Relationship Id="rId1" Type="http://schemas.openxmlformats.org/officeDocument/2006/relationships/hyperlink" Target="http://www.linkedin.com/in/victor-r-wright" TargetMode="External"/><Relationship Id="rId6" Type="http://schemas.openxmlformats.org/officeDocument/2006/relationships/hyperlink" Target="http://vrw-gh.github.io/sharemyfood-backend" TargetMode="External"/><Relationship Id="rId11" Type="http://schemas.openxmlformats.org/officeDocument/2006/relationships/hyperlink" Target="https://vrw-gh.github.io/php-emailer/" TargetMode="External"/><Relationship Id="rId5" Type="http://schemas.openxmlformats.org/officeDocument/2006/relationships/hyperlink" Target="https://vrw-gh.github.io/WD-Home" TargetMode="External"/><Relationship Id="rId15" Type="http://schemas.openxmlformats.org/officeDocument/2006/relationships/hyperlink" Target="http://www.jfalanka.com/" TargetMode="External"/><Relationship Id="rId10" Type="http://schemas.openxmlformats.org/officeDocument/2006/relationships/hyperlink" Target="https://vrw-gh.github.io/gotq-spa" TargetMode="External"/><Relationship Id="rId4" Type="http://schemas.openxmlformats.org/officeDocument/2006/relationships/hyperlink" Target="http://vrw-gh.github.io/final-project-wd020" TargetMode="External"/><Relationship Id="rId9" Type="http://schemas.openxmlformats.org/officeDocument/2006/relationships/hyperlink" Target="tel:+4917646774278" TargetMode="External"/><Relationship Id="rId14" Type="http://schemas.openxmlformats.org/officeDocument/2006/relationships/hyperlink" Target="http://www.jfalanka.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victor.wright@outlook.de" TargetMode="External"/><Relationship Id="rId13" Type="http://schemas.openxmlformats.org/officeDocument/2006/relationships/hyperlink" Target="https://vrw-gh.github.io/jfalanka" TargetMode="External"/><Relationship Id="rId18" Type="http://schemas.openxmlformats.org/officeDocument/2006/relationships/printerSettings" Target="../printerSettings/printerSettings11.bin"/><Relationship Id="rId3" Type="http://schemas.openxmlformats.org/officeDocument/2006/relationships/hyperlink" Target="http://www.wrightsdesk.com/" TargetMode="External"/><Relationship Id="rId7" Type="http://schemas.openxmlformats.org/officeDocument/2006/relationships/hyperlink" Target="https://vrw-gh.github.io/sanskara" TargetMode="External"/><Relationship Id="rId12" Type="http://schemas.openxmlformats.org/officeDocument/2006/relationships/hyperlink" Target="https://vrw-gh.github.io/drmuellers1969" TargetMode="External"/><Relationship Id="rId17" Type="http://schemas.openxmlformats.org/officeDocument/2006/relationships/hyperlink" Target="https://vrw-gh.github.io/gotq-spa" TargetMode="External"/><Relationship Id="rId2" Type="http://schemas.openxmlformats.org/officeDocument/2006/relationships/hyperlink" Target="http://vrw-gh.github.io/vrw-GH" TargetMode="External"/><Relationship Id="rId16" Type="http://schemas.openxmlformats.org/officeDocument/2006/relationships/hyperlink" Target="http://www.jfalanka.com/" TargetMode="External"/><Relationship Id="rId1" Type="http://schemas.openxmlformats.org/officeDocument/2006/relationships/hyperlink" Target="http://www.linkedin.com/in/victor-r-wright" TargetMode="External"/><Relationship Id="rId6" Type="http://schemas.openxmlformats.org/officeDocument/2006/relationships/hyperlink" Target="http://vrw-gh.github.io/sharemyfood-backend" TargetMode="External"/><Relationship Id="rId11" Type="http://schemas.openxmlformats.org/officeDocument/2006/relationships/hyperlink" Target="https://vrw-gh.github.io/php-emailer/" TargetMode="External"/><Relationship Id="rId5" Type="http://schemas.openxmlformats.org/officeDocument/2006/relationships/hyperlink" Target="https://vrw-gh.github.io/WD-Home" TargetMode="External"/><Relationship Id="rId15" Type="http://schemas.openxmlformats.org/officeDocument/2006/relationships/hyperlink" Target="http://www.ignident.com/" TargetMode="External"/><Relationship Id="rId10" Type="http://schemas.openxmlformats.org/officeDocument/2006/relationships/hyperlink" Target="https://vrw-gh.github.io/ignident" TargetMode="External"/><Relationship Id="rId19" Type="http://schemas.openxmlformats.org/officeDocument/2006/relationships/drawing" Target="../drawings/drawing11.xml"/><Relationship Id="rId4" Type="http://schemas.openxmlformats.org/officeDocument/2006/relationships/hyperlink" Target="http://vrw-gh.github.io/final-project-wd020" TargetMode="External"/><Relationship Id="rId9" Type="http://schemas.openxmlformats.org/officeDocument/2006/relationships/hyperlink" Target="tel:+4917646774278" TargetMode="External"/><Relationship Id="rId14" Type="http://schemas.openxmlformats.org/officeDocument/2006/relationships/hyperlink" Target="http://www.jfalanka.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rightelement.github.io/TalkAboutStuff/" TargetMode="External"/><Relationship Id="rId13" Type="http://schemas.openxmlformats.org/officeDocument/2006/relationships/hyperlink" Target="https://vrw-gh.github.io/drmuellers1969" TargetMode="External"/><Relationship Id="rId18" Type="http://schemas.openxmlformats.org/officeDocument/2006/relationships/printerSettings" Target="../printerSettings/printerSettings12.bin"/><Relationship Id="rId3" Type="http://schemas.openxmlformats.org/officeDocument/2006/relationships/hyperlink" Target="http://www.ignident.com/" TargetMode="External"/><Relationship Id="rId7" Type="http://schemas.openxmlformats.org/officeDocument/2006/relationships/hyperlink" Target="http://www.linkedin.com/in/victor-r-wright" TargetMode="External"/><Relationship Id="rId12" Type="http://schemas.openxmlformats.org/officeDocument/2006/relationships/hyperlink" Target="https://vrw-gh.github.io/php-emailer" TargetMode="External"/><Relationship Id="rId17" Type="http://schemas.openxmlformats.org/officeDocument/2006/relationships/hyperlink" Target="http://vrw-gh.github.io/sharemyfood-backend" TargetMode="External"/><Relationship Id="rId2" Type="http://schemas.openxmlformats.org/officeDocument/2006/relationships/hyperlink" Target="mailto:victor.wright@outlook.de?subject=Victor%20Wright%20-%20CV" TargetMode="External"/><Relationship Id="rId16" Type="http://schemas.openxmlformats.org/officeDocument/2006/relationships/hyperlink" Target="http://vrw-gh.github.io/final-project-wd020" TargetMode="External"/><Relationship Id="rId1" Type="http://schemas.openxmlformats.org/officeDocument/2006/relationships/hyperlink" Target="tel:+4917646774278" TargetMode="External"/><Relationship Id="rId6" Type="http://schemas.openxmlformats.org/officeDocument/2006/relationships/hyperlink" Target="http://vrw-gh.github.io/vrw-GH" TargetMode="External"/><Relationship Id="rId11" Type="http://schemas.openxmlformats.org/officeDocument/2006/relationships/hyperlink" Target="https://vrw-gh.github.io/jfalanka" TargetMode="External"/><Relationship Id="rId5" Type="http://schemas.openxmlformats.org/officeDocument/2006/relationships/hyperlink" Target="http://www.jfalanka.com/" TargetMode="External"/><Relationship Id="rId15" Type="http://schemas.openxmlformats.org/officeDocument/2006/relationships/hyperlink" Target="https://vrw-gh.github.io/WD-Home" TargetMode="External"/><Relationship Id="rId10" Type="http://schemas.openxmlformats.org/officeDocument/2006/relationships/hyperlink" Target="https://vrw-gh.github.io/gotq-spa" TargetMode="External"/><Relationship Id="rId19" Type="http://schemas.openxmlformats.org/officeDocument/2006/relationships/drawing" Target="../drawings/drawing12.xml"/><Relationship Id="rId4" Type="http://schemas.openxmlformats.org/officeDocument/2006/relationships/hyperlink" Target="http://www.jfalanka.com/" TargetMode="External"/><Relationship Id="rId9" Type="http://schemas.openxmlformats.org/officeDocument/2006/relationships/hyperlink" Target="https://vrw-gh.github.io/ignident" TargetMode="External"/><Relationship Id="rId14" Type="http://schemas.openxmlformats.org/officeDocument/2006/relationships/hyperlink" Target="https://vrw-gh.github.io/sanskara"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rightsdesk.github.io/TalkAboutStuff/" TargetMode="External"/><Relationship Id="rId13" Type="http://schemas.openxmlformats.org/officeDocument/2006/relationships/hyperlink" Target="https://vrw-gh.github.io/drmuellers1969" TargetMode="External"/><Relationship Id="rId18" Type="http://schemas.openxmlformats.org/officeDocument/2006/relationships/printerSettings" Target="../printerSettings/printerSettings13.bin"/><Relationship Id="rId3" Type="http://schemas.openxmlformats.org/officeDocument/2006/relationships/hyperlink" Target="http://www.ignident.com/" TargetMode="External"/><Relationship Id="rId7" Type="http://schemas.openxmlformats.org/officeDocument/2006/relationships/hyperlink" Target="http://www.linkedin.com/in/victor-r-wright" TargetMode="External"/><Relationship Id="rId12" Type="http://schemas.openxmlformats.org/officeDocument/2006/relationships/hyperlink" Target="https://vrw-gh.github.io/php-emailer" TargetMode="External"/><Relationship Id="rId17" Type="http://schemas.openxmlformats.org/officeDocument/2006/relationships/hyperlink" Target="http://vrw-gh.github.io/sharemyfood-backend" TargetMode="External"/><Relationship Id="rId2" Type="http://schemas.openxmlformats.org/officeDocument/2006/relationships/hyperlink" Target="mailto:victor.wright@outlook.de?subject=Victor%20Wright%20-%20CV" TargetMode="External"/><Relationship Id="rId16" Type="http://schemas.openxmlformats.org/officeDocument/2006/relationships/hyperlink" Target="http://vrw-gh.github.io/final-project-wd020" TargetMode="External"/><Relationship Id="rId1" Type="http://schemas.openxmlformats.org/officeDocument/2006/relationships/hyperlink" Target="tel:+4917646774278" TargetMode="External"/><Relationship Id="rId6" Type="http://schemas.openxmlformats.org/officeDocument/2006/relationships/hyperlink" Target="http://vrw-gh.github.io/vrw-GH" TargetMode="External"/><Relationship Id="rId11" Type="http://schemas.openxmlformats.org/officeDocument/2006/relationships/hyperlink" Target="https://vrw-gh.github.io/jfalanka" TargetMode="External"/><Relationship Id="rId5" Type="http://schemas.openxmlformats.org/officeDocument/2006/relationships/hyperlink" Target="http://www.jfalanka.com/" TargetMode="External"/><Relationship Id="rId15" Type="http://schemas.openxmlformats.org/officeDocument/2006/relationships/hyperlink" Target="https://vrw-gh.github.io/WD-Home" TargetMode="External"/><Relationship Id="rId10" Type="http://schemas.openxmlformats.org/officeDocument/2006/relationships/hyperlink" Target="https://vrw-gh.github.io/gotq-spa" TargetMode="External"/><Relationship Id="rId19" Type="http://schemas.openxmlformats.org/officeDocument/2006/relationships/drawing" Target="../drawings/drawing13.xml"/><Relationship Id="rId4" Type="http://schemas.openxmlformats.org/officeDocument/2006/relationships/hyperlink" Target="http://www.jfalanka.com/" TargetMode="External"/><Relationship Id="rId9" Type="http://schemas.openxmlformats.org/officeDocument/2006/relationships/hyperlink" Target="https://vrw-gh.github.io/ignident" TargetMode="External"/><Relationship Id="rId14" Type="http://schemas.openxmlformats.org/officeDocument/2006/relationships/hyperlink" Target="https://vrw-gh.github.io/sansk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4"/>
  <sheetViews>
    <sheetView workbookViewId="0">
      <selection activeCell="B1" sqref="B1"/>
    </sheetView>
  </sheetViews>
  <sheetFormatPr defaultRowHeight="15"/>
  <cols>
    <col min="1" max="1" width="2.7109375" customWidth="1"/>
    <col min="5" max="5" width="7.28515625" customWidth="1"/>
    <col min="6" max="6" width="2.7109375" customWidth="1"/>
    <col min="9" max="9" width="7.140625" customWidth="1"/>
    <col min="13" max="13" width="8.7109375" customWidth="1"/>
    <col min="15" max="15" width="2.7109375" customWidth="1"/>
  </cols>
  <sheetData>
    <row r="1" spans="1:15" ht="12" customHeight="1">
      <c r="A1" s="1"/>
    </row>
    <row r="2" spans="1:15" ht="30" customHeight="1">
      <c r="A2" s="185"/>
      <c r="B2" s="242"/>
      <c r="C2" s="242"/>
      <c r="D2" s="243" t="s">
        <v>0</v>
      </c>
      <c r="E2" s="243"/>
      <c r="F2" s="243"/>
      <c r="G2" s="243"/>
      <c r="H2" s="243"/>
      <c r="I2" s="243"/>
      <c r="J2" s="243"/>
      <c r="K2" s="243"/>
      <c r="L2" s="243"/>
      <c r="M2" s="243"/>
      <c r="N2" s="243"/>
      <c r="O2" s="186"/>
    </row>
    <row r="3" spans="1:15" ht="21.95" customHeight="1">
      <c r="A3" s="185"/>
      <c r="B3" s="242"/>
      <c r="C3" s="242"/>
      <c r="D3" s="244" t="s">
        <v>1</v>
      </c>
      <c r="E3" s="244"/>
      <c r="F3" s="244"/>
      <c r="G3" s="244"/>
      <c r="H3" s="244"/>
      <c r="I3" s="244"/>
      <c r="J3" s="244"/>
      <c r="K3" s="244"/>
      <c r="L3" s="244"/>
      <c r="M3" s="244"/>
      <c r="N3" s="244"/>
      <c r="O3" s="186"/>
    </row>
    <row r="4" spans="1:15">
      <c r="A4" s="226"/>
      <c r="B4" s="242"/>
      <c r="C4" s="242"/>
      <c r="D4" s="188"/>
      <c r="E4" s="238"/>
      <c r="F4" s="238"/>
      <c r="G4" s="238"/>
      <c r="H4" s="238"/>
      <c r="I4" s="238"/>
      <c r="J4" s="239"/>
      <c r="K4" s="239"/>
      <c r="L4" s="239"/>
      <c r="M4" s="239"/>
      <c r="N4" s="239"/>
    </row>
    <row r="5" spans="1:15">
      <c r="A5" s="226"/>
      <c r="B5" s="242"/>
      <c r="C5" s="242"/>
      <c r="D5" s="29" t="s">
        <v>2</v>
      </c>
      <c r="E5" s="24"/>
      <c r="F5" s="24"/>
      <c r="G5" s="24"/>
      <c r="H5" s="24"/>
      <c r="I5" s="32" t="s">
        <v>3</v>
      </c>
      <c r="K5" s="24"/>
      <c r="L5" s="24"/>
      <c r="M5" s="24"/>
      <c r="N5" s="24"/>
    </row>
    <row r="6" spans="1:15" ht="15" customHeight="1">
      <c r="A6" s="226"/>
      <c r="B6" s="242"/>
      <c r="C6" s="242"/>
      <c r="D6" s="30" t="s">
        <v>4</v>
      </c>
      <c r="F6" s="25"/>
      <c r="G6" s="25"/>
      <c r="H6" s="25"/>
      <c r="I6" s="31" t="s">
        <v>5</v>
      </c>
      <c r="K6" s="25"/>
      <c r="L6" s="25"/>
      <c r="M6" s="25"/>
      <c r="N6" s="25"/>
    </row>
    <row r="7" spans="1:15">
      <c r="A7" s="226"/>
      <c r="B7" s="242"/>
      <c r="C7" s="242"/>
      <c r="D7" s="188"/>
      <c r="F7" s="24"/>
      <c r="G7" s="24"/>
      <c r="H7" s="24"/>
      <c r="I7" s="33" t="s">
        <v>6</v>
      </c>
      <c r="K7" s="26"/>
      <c r="L7" s="26"/>
      <c r="M7" s="26"/>
      <c r="N7" s="26"/>
    </row>
    <row r="8" spans="1:15" ht="20.100000000000001" customHeight="1">
      <c r="A8" s="226"/>
      <c r="B8" s="240" t="s">
        <v>7</v>
      </c>
      <c r="C8" s="240"/>
      <c r="D8" s="240"/>
      <c r="E8" s="240"/>
      <c r="F8" s="240"/>
      <c r="G8" s="240"/>
      <c r="H8" s="240"/>
      <c r="I8" s="240"/>
      <c r="J8" s="240"/>
      <c r="K8" s="240"/>
      <c r="L8" s="240"/>
      <c r="M8" s="240"/>
      <c r="N8" s="240"/>
    </row>
    <row r="9" spans="1:15">
      <c r="A9" s="226"/>
      <c r="B9" s="241" t="s">
        <v>8</v>
      </c>
      <c r="C9" s="241"/>
      <c r="D9" s="241"/>
      <c r="E9" s="241"/>
      <c r="F9" s="241"/>
      <c r="G9" s="241"/>
      <c r="H9" s="241"/>
      <c r="I9" s="241"/>
      <c r="J9" s="241"/>
      <c r="K9" s="241"/>
      <c r="L9" s="241"/>
      <c r="M9" s="241"/>
      <c r="N9" s="241"/>
    </row>
    <row r="10" spans="1:15">
      <c r="A10" s="226"/>
      <c r="B10" s="241" t="s">
        <v>9</v>
      </c>
      <c r="C10" s="241"/>
      <c r="D10" s="241"/>
      <c r="E10" s="241"/>
      <c r="F10" s="241"/>
      <c r="G10" s="241"/>
      <c r="H10" s="241"/>
      <c r="I10" s="241"/>
      <c r="J10" s="241"/>
      <c r="K10" s="241"/>
      <c r="L10" s="241"/>
      <c r="M10" s="241"/>
      <c r="N10" s="241"/>
    </row>
    <row r="11" spans="1:15">
      <c r="A11" s="226"/>
      <c r="B11" s="241" t="s">
        <v>10</v>
      </c>
      <c r="C11" s="241"/>
      <c r="D11" s="241"/>
      <c r="E11" s="241"/>
      <c r="F11" s="241"/>
      <c r="G11" s="241"/>
      <c r="H11" s="241"/>
      <c r="I11" s="241"/>
      <c r="J11" s="241"/>
      <c r="K11" s="241"/>
      <c r="L11" s="241"/>
      <c r="M11" s="241"/>
      <c r="N11" s="241"/>
    </row>
    <row r="12" spans="1:15" ht="38.25" customHeight="1">
      <c r="A12" s="226"/>
      <c r="B12" s="225" t="s">
        <v>11</v>
      </c>
      <c r="C12" s="225"/>
      <c r="D12" s="225"/>
      <c r="E12" s="225"/>
      <c r="F12" s="225"/>
      <c r="G12" s="225"/>
      <c r="H12" s="225"/>
      <c r="I12" s="225"/>
      <c r="J12" s="225"/>
      <c r="K12" s="225"/>
      <c r="L12" s="225"/>
      <c r="M12" s="225"/>
      <c r="N12" s="225"/>
    </row>
    <row r="13" spans="1:15" ht="9.9499999999999993" customHeight="1">
      <c r="A13" s="185"/>
    </row>
    <row r="14" spans="1:15" ht="24.95" customHeight="1" thickBot="1">
      <c r="A14" s="185"/>
      <c r="B14" s="214" t="s">
        <v>12</v>
      </c>
      <c r="C14" s="214"/>
      <c r="D14" s="214"/>
      <c r="E14" s="214"/>
      <c r="F14" s="214"/>
      <c r="G14" s="214"/>
      <c r="H14" s="214"/>
      <c r="I14" s="214" t="s">
        <v>13</v>
      </c>
      <c r="J14" s="214"/>
      <c r="K14" s="214"/>
      <c r="L14" s="214"/>
      <c r="M14" s="214"/>
      <c r="N14" s="214"/>
    </row>
    <row r="15" spans="1:15" ht="30" customHeight="1">
      <c r="A15" s="185"/>
      <c r="B15" s="237" t="s">
        <v>14</v>
      </c>
      <c r="C15" s="237"/>
      <c r="D15" s="237"/>
      <c r="E15" s="237"/>
      <c r="F15" s="237"/>
      <c r="G15" s="237"/>
      <c r="H15" s="237"/>
      <c r="I15" s="237" t="s">
        <v>15</v>
      </c>
      <c r="J15" s="237"/>
      <c r="K15" s="237"/>
      <c r="L15" s="237"/>
      <c r="M15" s="237"/>
      <c r="N15" s="237"/>
    </row>
    <row r="16" spans="1:15">
      <c r="A16" s="185"/>
      <c r="B16" s="233" t="s">
        <v>16</v>
      </c>
      <c r="C16" s="233"/>
      <c r="D16" s="233"/>
      <c r="E16" s="233"/>
      <c r="F16" s="234" t="s">
        <v>17</v>
      </c>
      <c r="G16" s="234"/>
      <c r="H16" s="234"/>
      <c r="J16" s="188"/>
      <c r="K16" s="5" t="s">
        <v>18</v>
      </c>
      <c r="L16" s="6" t="s">
        <v>19</v>
      </c>
      <c r="M16" s="188"/>
    </row>
    <row r="17" spans="1:14">
      <c r="A17" s="185"/>
      <c r="B17" s="233" t="s">
        <v>20</v>
      </c>
      <c r="C17" s="233"/>
      <c r="D17" s="233"/>
      <c r="E17" s="233"/>
      <c r="F17" s="234" t="s">
        <v>17</v>
      </c>
      <c r="G17" s="234"/>
      <c r="H17" s="234"/>
      <c r="J17" s="188"/>
      <c r="K17" s="5" t="s">
        <v>21</v>
      </c>
      <c r="L17" s="6" t="s">
        <v>22</v>
      </c>
      <c r="M17" s="188"/>
    </row>
    <row r="18" spans="1:14">
      <c r="A18" s="185"/>
      <c r="B18" s="233" t="s">
        <v>23</v>
      </c>
      <c r="C18" s="233"/>
      <c r="D18" s="233"/>
      <c r="E18" s="233"/>
      <c r="F18" s="234" t="s">
        <v>24</v>
      </c>
      <c r="G18" s="234"/>
      <c r="H18" s="234"/>
      <c r="J18" s="188"/>
      <c r="K18" s="5" t="s">
        <v>25</v>
      </c>
      <c r="L18" s="6" t="s">
        <v>17</v>
      </c>
      <c r="M18" s="188"/>
    </row>
    <row r="19" spans="1:14">
      <c r="A19" s="185"/>
      <c r="B19" s="236" t="s">
        <v>26</v>
      </c>
      <c r="C19" s="236"/>
      <c r="D19" s="236"/>
      <c r="E19" s="236"/>
      <c r="F19" s="236"/>
      <c r="G19" s="236"/>
      <c r="H19" s="236"/>
      <c r="J19" s="188"/>
      <c r="K19" s="5" t="s">
        <v>27</v>
      </c>
      <c r="L19" s="6" t="s">
        <v>17</v>
      </c>
      <c r="M19" s="188"/>
    </row>
    <row r="20" spans="1:14">
      <c r="A20" s="185"/>
      <c r="B20" s="236"/>
      <c r="C20" s="236"/>
      <c r="D20" s="236"/>
      <c r="E20" s="236"/>
      <c r="F20" s="236"/>
      <c r="G20" s="236"/>
      <c r="H20" s="236"/>
      <c r="J20" s="188"/>
      <c r="K20" s="5" t="s">
        <v>28</v>
      </c>
      <c r="L20" s="6" t="s">
        <v>29</v>
      </c>
      <c r="M20" s="188"/>
    </row>
    <row r="21" spans="1:14">
      <c r="A21" s="185"/>
      <c r="B21" s="233" t="s">
        <v>30</v>
      </c>
      <c r="C21" s="233"/>
      <c r="D21" s="233"/>
      <c r="E21" s="233"/>
      <c r="F21" s="234" t="s">
        <v>17</v>
      </c>
      <c r="G21" s="234"/>
      <c r="H21" s="234"/>
      <c r="J21" s="188"/>
      <c r="K21" s="5" t="s">
        <v>31</v>
      </c>
      <c r="L21" s="6" t="s">
        <v>32</v>
      </c>
      <c r="M21" s="188"/>
    </row>
    <row r="22" spans="1:14">
      <c r="A22" s="185"/>
      <c r="B22" s="233" t="s">
        <v>33</v>
      </c>
      <c r="C22" s="233"/>
      <c r="D22" s="233"/>
      <c r="E22" s="233"/>
      <c r="F22" s="234" t="s">
        <v>34</v>
      </c>
      <c r="G22" s="234"/>
      <c r="H22" s="234"/>
      <c r="J22" s="188"/>
      <c r="K22" s="5" t="s">
        <v>35</v>
      </c>
      <c r="L22" s="6" t="s">
        <v>29</v>
      </c>
      <c r="M22" s="188"/>
    </row>
    <row r="23" spans="1:14">
      <c r="A23" s="185"/>
      <c r="B23" s="233" t="s">
        <v>36</v>
      </c>
      <c r="C23" s="233"/>
      <c r="D23" s="233"/>
      <c r="E23" s="233"/>
      <c r="F23" s="234" t="s">
        <v>37</v>
      </c>
      <c r="G23" s="234"/>
      <c r="H23" s="234"/>
      <c r="J23" s="188"/>
      <c r="K23" s="5" t="s">
        <v>38</v>
      </c>
      <c r="L23" s="6" t="s">
        <v>39</v>
      </c>
      <c r="M23" s="188"/>
    </row>
    <row r="24" spans="1:14">
      <c r="A24" s="185"/>
      <c r="B24" s="233" t="s">
        <v>40</v>
      </c>
      <c r="C24" s="233"/>
      <c r="D24" s="233"/>
      <c r="E24" s="233"/>
      <c r="F24" s="234" t="s">
        <v>24</v>
      </c>
      <c r="G24" s="234"/>
      <c r="H24" s="234"/>
      <c r="J24" s="188"/>
      <c r="K24" s="5" t="s">
        <v>41</v>
      </c>
      <c r="L24" s="6" t="s">
        <v>24</v>
      </c>
      <c r="M24" s="188"/>
    </row>
    <row r="25" spans="1:14">
      <c r="A25" s="185"/>
      <c r="B25" s="236" t="s">
        <v>42</v>
      </c>
      <c r="C25" s="236"/>
      <c r="D25" s="236"/>
      <c r="E25" s="236"/>
      <c r="F25" s="236"/>
      <c r="G25" s="236"/>
      <c r="H25" s="236"/>
      <c r="J25" s="188"/>
      <c r="K25" s="5" t="s">
        <v>43</v>
      </c>
      <c r="L25" s="6" t="s">
        <v>24</v>
      </c>
      <c r="M25" s="188"/>
    </row>
    <row r="26" spans="1:14">
      <c r="A26" s="185"/>
      <c r="B26" s="236"/>
      <c r="C26" s="236"/>
      <c r="D26" s="236"/>
      <c r="E26" s="236"/>
      <c r="F26" s="236"/>
      <c r="G26" s="236"/>
      <c r="H26" s="236"/>
      <c r="I26" s="236" t="s">
        <v>44</v>
      </c>
      <c r="J26" s="236"/>
      <c r="K26" s="236"/>
      <c r="L26" s="236"/>
      <c r="M26" s="236"/>
      <c r="N26" s="236"/>
    </row>
    <row r="27" spans="1:14">
      <c r="A27" s="185"/>
      <c r="B27" s="233" t="s">
        <v>45</v>
      </c>
      <c r="C27" s="233"/>
      <c r="D27" s="233"/>
      <c r="E27" s="233"/>
      <c r="F27" s="234" t="s">
        <v>46</v>
      </c>
      <c r="G27" s="234"/>
      <c r="H27" s="234"/>
      <c r="I27" s="236"/>
      <c r="J27" s="236"/>
      <c r="K27" s="236"/>
      <c r="L27" s="236"/>
      <c r="M27" s="236"/>
      <c r="N27" s="236"/>
    </row>
    <row r="28" spans="1:14">
      <c r="A28" s="185"/>
      <c r="B28" s="233" t="s">
        <v>47</v>
      </c>
      <c r="C28" s="233"/>
      <c r="D28" s="233"/>
      <c r="E28" s="233"/>
      <c r="F28" s="234" t="s">
        <v>24</v>
      </c>
      <c r="G28" s="234"/>
      <c r="H28" s="234"/>
      <c r="J28" s="5"/>
      <c r="K28" s="5" t="s">
        <v>48</v>
      </c>
      <c r="L28" s="6" t="s">
        <v>37</v>
      </c>
      <c r="M28" s="5"/>
    </row>
    <row r="29" spans="1:14">
      <c r="A29" s="185"/>
      <c r="B29" s="236" t="s">
        <v>49</v>
      </c>
      <c r="C29" s="236"/>
      <c r="D29" s="236"/>
      <c r="E29" s="236"/>
      <c r="F29" s="236"/>
      <c r="G29" s="236"/>
      <c r="H29" s="236"/>
      <c r="J29" s="5"/>
      <c r="K29" s="5" t="s">
        <v>50</v>
      </c>
      <c r="L29" s="6" t="s">
        <v>37</v>
      </c>
      <c r="M29" s="5"/>
    </row>
    <row r="30" spans="1:14">
      <c r="A30" s="185"/>
      <c r="B30" s="236"/>
      <c r="C30" s="236"/>
      <c r="D30" s="236"/>
      <c r="E30" s="236"/>
      <c r="F30" s="236"/>
      <c r="G30" s="236"/>
      <c r="H30" s="236"/>
      <c r="J30" s="5"/>
      <c r="K30" s="5" t="s">
        <v>51</v>
      </c>
      <c r="L30" s="6" t="s">
        <v>39</v>
      </c>
      <c r="M30" s="5"/>
    </row>
    <row r="31" spans="1:14">
      <c r="A31" s="185"/>
      <c r="B31" s="233" t="s">
        <v>52</v>
      </c>
      <c r="C31" s="233"/>
      <c r="D31" s="233"/>
      <c r="E31" s="233"/>
      <c r="F31" s="234" t="s">
        <v>34</v>
      </c>
      <c r="G31" s="234"/>
      <c r="H31" s="234"/>
      <c r="I31" s="236" t="s">
        <v>53</v>
      </c>
      <c r="J31" s="236"/>
      <c r="K31" s="236"/>
      <c r="L31" s="236"/>
      <c r="M31" s="236"/>
      <c r="N31" s="236"/>
    </row>
    <row r="32" spans="1:14">
      <c r="A32" s="185"/>
      <c r="B32" s="236" t="s">
        <v>54</v>
      </c>
      <c r="C32" s="236"/>
      <c r="D32" s="236"/>
      <c r="E32" s="236"/>
      <c r="F32" s="236"/>
      <c r="G32" s="236"/>
      <c r="H32" s="236"/>
      <c r="I32" s="236"/>
      <c r="J32" s="236"/>
      <c r="K32" s="236"/>
      <c r="L32" s="236"/>
      <c r="M32" s="236"/>
      <c r="N32" s="236"/>
    </row>
    <row r="33" spans="1:14">
      <c r="A33" s="185"/>
      <c r="B33" s="236"/>
      <c r="C33" s="236"/>
      <c r="D33" s="236"/>
      <c r="E33" s="236"/>
      <c r="F33" s="236"/>
      <c r="G33" s="236"/>
      <c r="H33" s="236"/>
      <c r="J33" s="5"/>
      <c r="K33" s="5" t="s">
        <v>55</v>
      </c>
      <c r="L33" s="6" t="s">
        <v>19</v>
      </c>
      <c r="M33" s="5"/>
    </row>
    <row r="34" spans="1:14">
      <c r="A34" s="185"/>
      <c r="B34" s="233" t="s">
        <v>56</v>
      </c>
      <c r="C34" s="233"/>
      <c r="D34" s="233"/>
      <c r="E34" s="233"/>
      <c r="F34" s="234" t="s">
        <v>37</v>
      </c>
      <c r="G34" s="234"/>
      <c r="H34" s="234"/>
      <c r="J34" s="5"/>
      <c r="K34" s="5" t="s">
        <v>57</v>
      </c>
      <c r="L34" s="6" t="s">
        <v>19</v>
      </c>
      <c r="M34" s="5"/>
    </row>
    <row r="35" spans="1:14">
      <c r="A35" s="185"/>
      <c r="B35" s="236" t="s">
        <v>58</v>
      </c>
      <c r="C35" s="236"/>
      <c r="D35" s="236"/>
      <c r="E35" s="236"/>
      <c r="F35" s="236"/>
      <c r="G35" s="236"/>
      <c r="H35" s="236"/>
      <c r="J35" s="5"/>
      <c r="K35" s="5" t="s">
        <v>59</v>
      </c>
      <c r="L35" s="6" t="s">
        <v>22</v>
      </c>
      <c r="M35" s="5"/>
    </row>
    <row r="36" spans="1:14">
      <c r="A36" s="185"/>
      <c r="B36" s="236"/>
      <c r="C36" s="236"/>
      <c r="D36" s="236"/>
      <c r="E36" s="236"/>
      <c r="F36" s="236"/>
      <c r="G36" s="236"/>
      <c r="H36" s="236"/>
      <c r="J36" s="5"/>
      <c r="K36" s="5" t="s">
        <v>60</v>
      </c>
      <c r="L36" s="6" t="s">
        <v>19</v>
      </c>
      <c r="M36" s="5"/>
    </row>
    <row r="37" spans="1:14">
      <c r="A37" s="185"/>
      <c r="B37" s="233" t="s">
        <v>61</v>
      </c>
      <c r="C37" s="233"/>
      <c r="D37" s="233"/>
      <c r="E37" s="233"/>
      <c r="F37" s="234" t="s">
        <v>29</v>
      </c>
      <c r="G37" s="234"/>
      <c r="H37" s="234"/>
      <c r="J37" s="5"/>
      <c r="K37" s="5" t="s">
        <v>62</v>
      </c>
      <c r="L37" s="6" t="s">
        <v>32</v>
      </c>
      <c r="M37" s="5"/>
    </row>
    <row r="38" spans="1:14">
      <c r="A38" s="185"/>
      <c r="B38" s="236" t="s">
        <v>63</v>
      </c>
      <c r="C38" s="236"/>
      <c r="D38" s="236"/>
      <c r="E38" s="236"/>
      <c r="F38" s="236"/>
      <c r="G38" s="236"/>
      <c r="H38" s="236"/>
      <c r="J38" s="5"/>
      <c r="K38" s="5" t="s">
        <v>64</v>
      </c>
      <c r="L38" s="6" t="s">
        <v>19</v>
      </c>
      <c r="M38" s="5"/>
    </row>
    <row r="39" spans="1:14">
      <c r="A39" s="185"/>
      <c r="B39" s="236"/>
      <c r="C39" s="236"/>
      <c r="D39" s="236"/>
      <c r="E39" s="236"/>
      <c r="F39" s="236"/>
      <c r="G39" s="236"/>
      <c r="H39" s="236"/>
      <c r="J39" s="5"/>
      <c r="K39" s="5" t="s">
        <v>65</v>
      </c>
      <c r="L39" s="6" t="s">
        <v>22</v>
      </c>
      <c r="M39" s="5"/>
    </row>
    <row r="40" spans="1:14">
      <c r="A40" s="185"/>
      <c r="B40" s="233" t="s">
        <v>66</v>
      </c>
      <c r="C40" s="233"/>
      <c r="D40" s="233"/>
      <c r="E40" s="233"/>
      <c r="F40" s="234" t="s">
        <v>29</v>
      </c>
      <c r="G40" s="234"/>
      <c r="H40" s="234"/>
      <c r="J40" s="5"/>
      <c r="K40" s="5" t="s">
        <v>67</v>
      </c>
      <c r="L40" s="6" t="s">
        <v>32</v>
      </c>
      <c r="M40" s="5"/>
    </row>
    <row r="41" spans="1:14">
      <c r="A41" s="185"/>
      <c r="B41" s="233" t="s">
        <v>68</v>
      </c>
      <c r="C41" s="233"/>
      <c r="D41" s="233"/>
      <c r="E41" s="233"/>
      <c r="F41" s="234" t="s">
        <v>32</v>
      </c>
      <c r="G41" s="234"/>
      <c r="H41" s="234"/>
      <c r="J41" s="5"/>
      <c r="K41" s="5" t="s">
        <v>69</v>
      </c>
      <c r="L41" s="6" t="s">
        <v>32</v>
      </c>
      <c r="M41" s="5"/>
    </row>
    <row r="42" spans="1:14" ht="9.9499999999999993" customHeight="1">
      <c r="A42" s="185"/>
    </row>
    <row r="43" spans="1:14" ht="20.100000000000001" customHeight="1" thickBot="1">
      <c r="A43" s="185"/>
      <c r="B43" s="214" t="s">
        <v>70</v>
      </c>
      <c r="C43" s="214"/>
      <c r="D43" s="214"/>
      <c r="E43" s="214"/>
      <c r="F43" s="214"/>
      <c r="G43" s="214"/>
      <c r="H43" s="214"/>
      <c r="I43" s="214"/>
      <c r="J43" s="214"/>
      <c r="K43" s="214"/>
      <c r="L43" s="214"/>
      <c r="M43" s="214"/>
      <c r="N43" s="214"/>
    </row>
    <row r="44" spans="1:14" ht="18" customHeight="1">
      <c r="A44" s="226"/>
      <c r="B44" s="235" t="s">
        <v>71</v>
      </c>
      <c r="C44" s="235"/>
      <c r="D44" s="235"/>
      <c r="E44" s="235"/>
      <c r="F44" s="235"/>
      <c r="G44" s="220" t="s">
        <v>72</v>
      </c>
      <c r="H44" s="220"/>
      <c r="I44" s="220"/>
      <c r="J44" s="220"/>
      <c r="K44" s="219" t="s">
        <v>73</v>
      </c>
      <c r="L44" s="219"/>
      <c r="M44" s="219"/>
      <c r="N44" s="219"/>
    </row>
    <row r="45" spans="1:14">
      <c r="A45" s="226"/>
      <c r="B45" s="228" t="s">
        <v>74</v>
      </c>
      <c r="C45" s="228"/>
      <c r="D45" s="228"/>
      <c r="E45" s="228"/>
      <c r="F45" s="228"/>
      <c r="G45" s="221"/>
      <c r="H45" s="221"/>
      <c r="I45" s="221"/>
      <c r="J45" s="221"/>
      <c r="K45" s="218"/>
      <c r="L45" s="218"/>
      <c r="M45" s="218"/>
      <c r="N45" s="218"/>
    </row>
    <row r="46" spans="1:14">
      <c r="A46" s="226"/>
      <c r="B46" s="229" t="s">
        <v>75</v>
      </c>
      <c r="C46" s="229"/>
      <c r="D46" s="229"/>
      <c r="E46" s="229"/>
      <c r="F46" s="229"/>
      <c r="G46" s="221"/>
      <c r="H46" s="221"/>
      <c r="I46" s="221"/>
      <c r="J46" s="221"/>
      <c r="K46" s="222" t="s">
        <v>76</v>
      </c>
      <c r="L46" s="222"/>
      <c r="M46" s="222"/>
      <c r="N46" s="222"/>
    </row>
    <row r="47" spans="1:14">
      <c r="A47" s="185"/>
      <c r="B47" s="187"/>
      <c r="C47" s="187"/>
      <c r="D47" s="187"/>
      <c r="E47" s="187"/>
      <c r="F47" s="187"/>
      <c r="G47" s="27"/>
      <c r="H47" s="27"/>
      <c r="I47" s="27"/>
      <c r="J47" s="27"/>
      <c r="K47" s="28"/>
      <c r="L47" s="28"/>
      <c r="M47" s="28"/>
      <c r="N47" s="28"/>
    </row>
    <row r="48" spans="1:14" ht="8.1" customHeight="1">
      <c r="A48" s="226"/>
      <c r="G48" s="221" t="s">
        <v>77</v>
      </c>
      <c r="H48" s="221"/>
      <c r="I48" s="221"/>
      <c r="J48" s="221"/>
    </row>
    <row r="49" spans="1:14" ht="15" customHeight="1">
      <c r="A49" s="226"/>
      <c r="B49" s="227" t="s">
        <v>78</v>
      </c>
      <c r="C49" s="227"/>
      <c r="D49" s="227"/>
      <c r="E49" s="227"/>
      <c r="F49" s="227"/>
      <c r="G49" s="221"/>
      <c r="H49" s="221"/>
      <c r="I49" s="221"/>
      <c r="J49" s="221"/>
      <c r="K49" s="218" t="s">
        <v>79</v>
      </c>
      <c r="L49" s="218"/>
      <c r="M49" s="218"/>
      <c r="N49" s="218"/>
    </row>
    <row r="50" spans="1:14">
      <c r="A50" s="226"/>
      <c r="B50" s="228" t="s">
        <v>80</v>
      </c>
      <c r="C50" s="228"/>
      <c r="D50" s="228"/>
      <c r="E50" s="228"/>
      <c r="F50" s="228"/>
      <c r="G50" s="221"/>
      <c r="H50" s="221"/>
      <c r="I50" s="221"/>
      <c r="J50" s="221"/>
      <c r="K50" s="218"/>
      <c r="L50" s="218"/>
      <c r="M50" s="218"/>
      <c r="N50" s="218"/>
    </row>
    <row r="51" spans="1:14">
      <c r="A51" s="226"/>
      <c r="B51" s="229" t="s">
        <v>81</v>
      </c>
      <c r="C51" s="229"/>
      <c r="D51" s="229"/>
      <c r="E51" s="229"/>
      <c r="F51" s="229"/>
      <c r="G51" s="221"/>
      <c r="H51" s="221"/>
      <c r="I51" s="221"/>
      <c r="J51" s="221"/>
      <c r="K51" s="223" t="s">
        <v>82</v>
      </c>
      <c r="L51" s="223"/>
      <c r="M51" s="223"/>
      <c r="N51" s="223"/>
    </row>
    <row r="52" spans="1:14" ht="9.9499999999999993" customHeight="1">
      <c r="A52" s="185"/>
    </row>
    <row r="53" spans="1:14" ht="20.100000000000001" customHeight="1" thickBot="1">
      <c r="A53" s="185"/>
      <c r="B53" s="214" t="s">
        <v>83</v>
      </c>
      <c r="C53" s="214"/>
      <c r="D53" s="214"/>
      <c r="E53" s="214"/>
      <c r="F53" s="214"/>
      <c r="G53" s="214"/>
      <c r="H53" s="214"/>
      <c r="I53" s="214" t="s">
        <v>84</v>
      </c>
      <c r="J53" s="214"/>
      <c r="K53" s="214"/>
      <c r="L53" s="214"/>
      <c r="M53" s="214"/>
      <c r="N53" s="214"/>
    </row>
    <row r="54" spans="1:14" ht="18" customHeight="1">
      <c r="B54" s="14"/>
      <c r="C54" s="14"/>
      <c r="D54" s="17" t="s">
        <v>85</v>
      </c>
      <c r="E54" s="18"/>
      <c r="F54" s="18"/>
      <c r="G54" s="18"/>
      <c r="H54" s="18"/>
      <c r="I54" s="18"/>
      <c r="J54" s="19" t="s">
        <v>86</v>
      </c>
      <c r="L54" s="15"/>
      <c r="M54" s="15"/>
      <c r="N54" s="15"/>
    </row>
    <row r="55" spans="1:14">
      <c r="B55" s="14"/>
      <c r="C55" s="14"/>
      <c r="D55" s="17" t="s">
        <v>87</v>
      </c>
      <c r="E55" s="18"/>
      <c r="F55" s="18"/>
      <c r="G55" s="18"/>
      <c r="H55" s="18"/>
      <c r="I55" s="18"/>
      <c r="J55" s="20" t="s">
        <v>88</v>
      </c>
      <c r="L55" s="16"/>
      <c r="M55" s="16"/>
      <c r="N55" s="16"/>
    </row>
    <row r="56" spans="1:14">
      <c r="B56" s="14"/>
      <c r="C56" s="14"/>
      <c r="D56" s="17" t="s">
        <v>89</v>
      </c>
      <c r="E56" s="18"/>
      <c r="F56" s="18"/>
      <c r="G56" s="18"/>
      <c r="H56" s="18"/>
      <c r="I56" s="18"/>
      <c r="J56" s="20" t="s">
        <v>90</v>
      </c>
      <c r="L56" s="16"/>
      <c r="M56" s="16"/>
      <c r="N56" s="16"/>
    </row>
    <row r="57" spans="1:14">
      <c r="B57" s="14"/>
      <c r="C57" s="14"/>
      <c r="D57" s="17"/>
      <c r="E57" s="18"/>
      <c r="F57" s="18"/>
      <c r="G57" s="18"/>
      <c r="H57" s="18"/>
      <c r="I57" s="18"/>
      <c r="J57" s="20"/>
      <c r="L57" s="16"/>
      <c r="M57" s="16"/>
      <c r="N57" s="16"/>
    </row>
    <row r="58" spans="1:14">
      <c r="B58" s="14"/>
      <c r="C58" s="14"/>
      <c r="D58" s="17"/>
      <c r="E58" s="18"/>
      <c r="F58" s="18"/>
      <c r="G58" s="18"/>
      <c r="H58" s="18"/>
      <c r="I58" s="18"/>
      <c r="J58" s="20"/>
      <c r="L58" s="16"/>
      <c r="M58" s="16"/>
      <c r="N58" s="16"/>
    </row>
    <row r="59" spans="1:14">
      <c r="B59" s="14"/>
      <c r="C59" s="14"/>
      <c r="D59" s="17"/>
      <c r="E59" s="18"/>
      <c r="F59" s="18"/>
      <c r="G59" s="18"/>
      <c r="H59" s="18"/>
      <c r="I59" s="18"/>
      <c r="J59" s="20"/>
      <c r="L59" s="16"/>
      <c r="M59" s="16"/>
      <c r="N59" s="16"/>
    </row>
    <row r="60" spans="1:14" ht="9.9499999999999993" customHeight="1"/>
    <row r="61" spans="1:14" ht="20.100000000000001" customHeight="1" thickBot="1">
      <c r="B61" s="214" t="s">
        <v>91</v>
      </c>
      <c r="C61" s="214"/>
      <c r="D61" s="214"/>
      <c r="E61" s="214"/>
      <c r="F61" s="214"/>
      <c r="G61" s="214"/>
      <c r="H61" s="214"/>
      <c r="I61" s="214"/>
      <c r="J61" s="214"/>
      <c r="K61" s="214"/>
      <c r="L61" s="214"/>
      <c r="M61" s="214"/>
      <c r="N61" s="214"/>
    </row>
    <row r="62" spans="1:14" ht="18" customHeight="1">
      <c r="A62" s="12"/>
      <c r="B62" s="215" t="s">
        <v>92</v>
      </c>
      <c r="C62" s="216"/>
      <c r="D62" s="230" t="s">
        <v>93</v>
      </c>
      <c r="E62" s="230"/>
      <c r="F62" s="230"/>
      <c r="G62" s="230"/>
      <c r="H62" s="230"/>
      <c r="I62" s="230"/>
      <c r="J62" s="230"/>
      <c r="K62" s="230"/>
      <c r="L62" s="230"/>
      <c r="M62" s="230"/>
      <c r="N62" s="230"/>
    </row>
    <row r="63" spans="1:14">
      <c r="A63" s="12"/>
      <c r="B63" s="217"/>
      <c r="C63" s="217"/>
      <c r="D63" s="231" t="s">
        <v>94</v>
      </c>
      <c r="E63" s="231"/>
      <c r="F63" s="231"/>
      <c r="G63" s="231"/>
      <c r="H63" s="231"/>
      <c r="I63" s="231"/>
      <c r="J63" s="231"/>
      <c r="K63" s="231"/>
      <c r="L63" s="231"/>
      <c r="M63" s="231"/>
      <c r="N63" s="231"/>
    </row>
    <row r="64" spans="1:14" ht="38.25" customHeight="1">
      <c r="A64" s="13"/>
      <c r="B64" s="13"/>
      <c r="C64" s="13"/>
      <c r="D64" s="232" t="s">
        <v>95</v>
      </c>
      <c r="E64" s="232"/>
      <c r="F64" s="232"/>
      <c r="G64" s="232"/>
      <c r="H64" s="232"/>
      <c r="I64" s="232"/>
      <c r="J64" s="232"/>
      <c r="K64" s="232"/>
      <c r="L64" s="232"/>
      <c r="M64" s="232"/>
      <c r="N64" s="232"/>
    </row>
    <row r="65" spans="1:14" ht="25.5" customHeight="1">
      <c r="A65" s="13"/>
      <c r="B65" s="13"/>
      <c r="C65" s="13"/>
      <c r="D65" s="225" t="s">
        <v>96</v>
      </c>
      <c r="E65" s="225"/>
      <c r="F65" s="225"/>
      <c r="G65" s="225"/>
      <c r="H65" s="225"/>
      <c r="I65" s="225"/>
      <c r="J65" s="225"/>
      <c r="K65" s="225"/>
      <c r="L65" s="225"/>
      <c r="M65" s="225"/>
      <c r="N65" s="225"/>
    </row>
    <row r="66" spans="1:14" ht="25.5" customHeight="1">
      <c r="A66" s="13"/>
      <c r="B66" s="13"/>
      <c r="C66" s="13"/>
      <c r="D66" s="225" t="s">
        <v>97</v>
      </c>
      <c r="E66" s="225"/>
      <c r="F66" s="225"/>
      <c r="G66" s="225"/>
      <c r="H66" s="225"/>
      <c r="I66" s="225"/>
      <c r="J66" s="225"/>
      <c r="K66" s="225"/>
      <c r="L66" s="225"/>
      <c r="M66" s="225"/>
      <c r="N66" s="225"/>
    </row>
    <row r="67" spans="1:14" ht="38.25" customHeight="1">
      <c r="A67" s="13"/>
      <c r="B67" s="13"/>
      <c r="C67" s="13"/>
      <c r="D67" s="225" t="s">
        <v>98</v>
      </c>
      <c r="E67" s="225"/>
      <c r="F67" s="225"/>
      <c r="G67" s="225"/>
      <c r="H67" s="225"/>
      <c r="I67" s="225"/>
      <c r="J67" s="225"/>
      <c r="K67" s="225"/>
      <c r="L67" s="225"/>
      <c r="M67" s="225"/>
      <c r="N67" s="225"/>
    </row>
    <row r="68" spans="1:14" ht="25.5" customHeight="1">
      <c r="A68" s="13"/>
      <c r="B68" s="13"/>
      <c r="C68" s="13"/>
      <c r="D68" s="225" t="s">
        <v>99</v>
      </c>
      <c r="E68" s="225"/>
      <c r="F68" s="225"/>
      <c r="G68" s="225"/>
      <c r="H68" s="225"/>
      <c r="I68" s="225"/>
      <c r="J68" s="225"/>
      <c r="K68" s="225"/>
      <c r="L68" s="225"/>
      <c r="M68" s="225"/>
      <c r="N68" s="225"/>
    </row>
    <row r="69" spans="1:14">
      <c r="A69" s="13"/>
      <c r="B69" s="13"/>
      <c r="C69" s="13"/>
      <c r="D69" s="225" t="s">
        <v>100</v>
      </c>
      <c r="E69" s="225"/>
      <c r="F69" s="225"/>
      <c r="G69" s="225"/>
      <c r="H69" s="225"/>
      <c r="I69" s="225"/>
      <c r="J69" s="225"/>
      <c r="K69" s="225"/>
      <c r="L69" s="225"/>
      <c r="M69" s="225"/>
      <c r="N69" s="225"/>
    </row>
    <row r="70" spans="1:14" ht="25.5" customHeight="1">
      <c r="A70" s="13"/>
      <c r="B70" s="13"/>
      <c r="C70" s="13"/>
      <c r="D70" s="225" t="s">
        <v>101</v>
      </c>
      <c r="E70" s="225"/>
      <c r="F70" s="225"/>
      <c r="G70" s="225"/>
      <c r="H70" s="225"/>
      <c r="I70" s="225"/>
      <c r="J70" s="225"/>
      <c r="K70" s="225"/>
      <c r="L70" s="225"/>
      <c r="M70" s="225"/>
      <c r="N70" s="225"/>
    </row>
    <row r="71" spans="1:14" ht="25.5" customHeight="1">
      <c r="A71" s="13"/>
      <c r="B71" s="13"/>
      <c r="C71" s="13"/>
      <c r="D71" s="225" t="s">
        <v>102</v>
      </c>
      <c r="E71" s="225"/>
      <c r="F71" s="225"/>
      <c r="G71" s="225"/>
      <c r="H71" s="225"/>
      <c r="I71" s="225"/>
      <c r="J71" s="225"/>
      <c r="K71" s="225"/>
      <c r="L71" s="225"/>
      <c r="M71" s="225"/>
      <c r="N71" s="225"/>
    </row>
    <row r="72" spans="1:14" ht="25.5" customHeight="1">
      <c r="A72" s="13"/>
      <c r="B72" s="13"/>
      <c r="C72" s="13"/>
      <c r="D72" s="225" t="s">
        <v>103</v>
      </c>
      <c r="E72" s="225"/>
      <c r="F72" s="225"/>
      <c r="G72" s="225"/>
      <c r="H72" s="225"/>
      <c r="I72" s="225"/>
      <c r="J72" s="225"/>
      <c r="K72" s="225"/>
      <c r="L72" s="225"/>
      <c r="M72" s="225"/>
      <c r="N72" s="225"/>
    </row>
    <row r="73" spans="1:14">
      <c r="B73" s="224" t="s">
        <v>104</v>
      </c>
      <c r="C73" s="224"/>
      <c r="D73" s="224"/>
      <c r="E73" s="224"/>
      <c r="F73" s="224"/>
      <c r="G73" s="224"/>
      <c r="H73" s="224"/>
    </row>
    <row r="74" spans="1:14" ht="18" customHeight="1">
      <c r="B74" s="23" t="s">
        <v>105</v>
      </c>
      <c r="C74" s="22"/>
      <c r="D74" s="21" t="s">
        <v>106</v>
      </c>
      <c r="E74" s="21"/>
      <c r="F74" s="21"/>
      <c r="G74" s="21"/>
      <c r="H74" s="21"/>
      <c r="I74" s="2" t="s">
        <v>107</v>
      </c>
      <c r="J74" s="2"/>
      <c r="K74" s="2"/>
    </row>
    <row r="75" spans="1:14" ht="18" customHeight="1">
      <c r="B75" s="23">
        <v>1998</v>
      </c>
      <c r="C75" s="22"/>
      <c r="D75" s="21" t="s">
        <v>108</v>
      </c>
      <c r="E75" s="21"/>
      <c r="F75" s="21"/>
      <c r="G75" s="21"/>
      <c r="H75" s="21"/>
      <c r="I75" s="2" t="s">
        <v>109</v>
      </c>
      <c r="J75" s="2"/>
      <c r="K75" s="2"/>
    </row>
    <row r="76" spans="1:14" ht="18" customHeight="1">
      <c r="B76" s="23" t="s">
        <v>110</v>
      </c>
      <c r="C76" s="22"/>
      <c r="D76" s="21" t="s">
        <v>111</v>
      </c>
      <c r="E76" s="21"/>
      <c r="F76" s="21"/>
      <c r="G76" s="21"/>
      <c r="H76" s="21"/>
      <c r="I76" s="2" t="s">
        <v>112</v>
      </c>
      <c r="J76" s="2"/>
      <c r="K76" s="2"/>
    </row>
    <row r="77" spans="1:14" ht="18" customHeight="1">
      <c r="B77" s="23" t="s">
        <v>113</v>
      </c>
      <c r="C77" s="22"/>
      <c r="D77" s="21" t="s">
        <v>114</v>
      </c>
      <c r="E77" s="21"/>
      <c r="F77" s="21"/>
      <c r="G77" s="21"/>
      <c r="H77" s="21"/>
      <c r="I77" s="2" t="s">
        <v>115</v>
      </c>
      <c r="J77" s="2"/>
      <c r="K77" s="2"/>
    </row>
    <row r="78" spans="1:14" ht="18" customHeight="1">
      <c r="B78" s="23" t="s">
        <v>116</v>
      </c>
      <c r="C78" s="22"/>
      <c r="D78" s="21" t="s">
        <v>117</v>
      </c>
      <c r="E78" s="21"/>
      <c r="F78" s="21"/>
      <c r="G78" s="21"/>
      <c r="H78" s="21"/>
      <c r="I78" s="2" t="s">
        <v>118</v>
      </c>
      <c r="J78" s="2"/>
      <c r="K78" s="2"/>
    </row>
    <row r="79" spans="1:14" ht="18" customHeight="1">
      <c r="B79" s="23" t="s">
        <v>119</v>
      </c>
      <c r="C79" s="22"/>
      <c r="D79" s="21" t="s">
        <v>120</v>
      </c>
      <c r="E79" s="21"/>
      <c r="F79" s="21"/>
      <c r="G79" s="21"/>
      <c r="H79" s="21"/>
      <c r="I79" s="2" t="s">
        <v>121</v>
      </c>
      <c r="J79" s="2"/>
      <c r="K79" s="2"/>
    </row>
    <row r="80" spans="1:14" ht="18" customHeight="1">
      <c r="B80" s="23" t="s">
        <v>122</v>
      </c>
      <c r="C80" s="22"/>
      <c r="D80" s="21" t="s">
        <v>123</v>
      </c>
      <c r="E80" s="21"/>
      <c r="F80" s="21"/>
      <c r="G80" s="21"/>
      <c r="H80" s="21"/>
      <c r="I80" s="2" t="s">
        <v>124</v>
      </c>
      <c r="J80" s="2"/>
      <c r="K80" s="2"/>
    </row>
    <row r="81" spans="1:14" ht="9.9499999999999993" customHeight="1">
      <c r="A81" s="185"/>
    </row>
    <row r="82" spans="1:14" ht="20.100000000000001" customHeight="1" thickBot="1">
      <c r="A82" s="185"/>
      <c r="B82" s="214" t="s">
        <v>125</v>
      </c>
      <c r="C82" s="214"/>
      <c r="D82" s="214"/>
      <c r="E82" s="214"/>
      <c r="F82" s="214"/>
      <c r="G82" s="214"/>
      <c r="H82" s="214"/>
      <c r="I82" s="214"/>
      <c r="J82" s="214"/>
      <c r="K82" s="214"/>
      <c r="L82" s="214"/>
      <c r="M82" s="214"/>
      <c r="N82" s="214"/>
    </row>
    <row r="83" spans="1:14" ht="18" customHeight="1">
      <c r="B83" s="23" t="s">
        <v>126</v>
      </c>
      <c r="D83" s="7" t="s">
        <v>127</v>
      </c>
      <c r="E83" s="7"/>
      <c r="F83" s="7"/>
      <c r="G83" s="7"/>
      <c r="H83" s="7"/>
      <c r="I83" s="10" t="s">
        <v>128</v>
      </c>
      <c r="J83" s="10"/>
      <c r="K83" s="9"/>
    </row>
    <row r="84" spans="1:14">
      <c r="A84" s="8"/>
      <c r="B84" s="22"/>
      <c r="D84" s="2" t="s">
        <v>129</v>
      </c>
      <c r="E84" s="2"/>
      <c r="F84" s="2"/>
      <c r="G84" s="2"/>
      <c r="H84" s="2"/>
      <c r="I84" s="2"/>
      <c r="J84" s="2"/>
      <c r="K84" s="3"/>
    </row>
    <row r="85" spans="1:14" ht="9.9499999999999993" customHeight="1">
      <c r="A85" s="185"/>
    </row>
    <row r="86" spans="1:14" ht="20.100000000000001" customHeight="1" thickBot="1">
      <c r="A86" s="185"/>
      <c r="B86" s="214" t="s">
        <v>130</v>
      </c>
      <c r="C86" s="214"/>
      <c r="D86" s="214"/>
      <c r="E86" s="214"/>
      <c r="F86" s="214"/>
      <c r="G86" s="214"/>
      <c r="H86" s="214"/>
      <c r="I86" s="214"/>
      <c r="J86" s="214"/>
      <c r="K86" s="214"/>
      <c r="L86" s="214"/>
      <c r="M86" s="214"/>
      <c r="N86" s="214"/>
    </row>
    <row r="87" spans="1:14" ht="18" customHeight="1">
      <c r="A87" s="12"/>
      <c r="B87" s="12"/>
      <c r="C87" s="7" t="s">
        <v>131</v>
      </c>
      <c r="D87" s="7"/>
      <c r="E87" s="7"/>
      <c r="F87" s="7"/>
      <c r="G87" s="7"/>
      <c r="H87" s="7"/>
      <c r="I87" s="10" t="s">
        <v>132</v>
      </c>
      <c r="J87" s="10"/>
      <c r="K87" s="10"/>
    </row>
    <row r="88" spans="1:14">
      <c r="A88" s="12"/>
      <c r="B88" s="12"/>
      <c r="C88" s="2" t="s">
        <v>133</v>
      </c>
      <c r="D88" s="2"/>
      <c r="E88" s="2"/>
      <c r="F88" s="2"/>
      <c r="G88" s="2"/>
      <c r="H88" s="2"/>
      <c r="I88" s="11" t="s">
        <v>134</v>
      </c>
      <c r="J88" s="11"/>
      <c r="K88" s="11"/>
    </row>
    <row r="89" spans="1:14">
      <c r="A89" s="12"/>
      <c r="B89" s="12"/>
      <c r="C89" s="2" t="s">
        <v>135</v>
      </c>
      <c r="D89" s="2"/>
      <c r="E89" s="2"/>
      <c r="F89" s="2"/>
      <c r="G89" s="2"/>
      <c r="H89" s="2"/>
      <c r="I89" s="2"/>
      <c r="J89" s="2"/>
      <c r="K89" s="2"/>
    </row>
    <row r="90" spans="1:14">
      <c r="A90" s="186"/>
      <c r="B90" s="186"/>
      <c r="C90" s="186"/>
      <c r="D90" s="186"/>
      <c r="E90" s="186"/>
      <c r="F90" s="186"/>
      <c r="G90" s="186"/>
      <c r="H90" s="186"/>
      <c r="I90" s="186"/>
      <c r="J90" s="186"/>
      <c r="K90" s="186"/>
      <c r="L90" s="186"/>
      <c r="M90" s="186"/>
      <c r="N90" s="186"/>
    </row>
    <row r="91" spans="1:14">
      <c r="A91" s="4"/>
    </row>
    <row r="92" spans="1:14">
      <c r="A92" s="4"/>
    </row>
    <row r="93" spans="1:14">
      <c r="A93" s="4"/>
    </row>
    <row r="94" spans="1:14">
      <c r="B94" s="213">
        <f ca="1">NOW()</f>
        <v>46069.632974189815</v>
      </c>
      <c r="C94" s="213"/>
      <c r="D94" s="3" t="s">
        <v>136</v>
      </c>
    </row>
  </sheetData>
  <mergeCells count="86">
    <mergeCell ref="A4:A7"/>
    <mergeCell ref="E4:I4"/>
    <mergeCell ref="J4:N4"/>
    <mergeCell ref="A8:A12"/>
    <mergeCell ref="B8:N8"/>
    <mergeCell ref="B9:N9"/>
    <mergeCell ref="B10:N10"/>
    <mergeCell ref="B11:N11"/>
    <mergeCell ref="B12:N12"/>
    <mergeCell ref="B2:C7"/>
    <mergeCell ref="D2:N2"/>
    <mergeCell ref="D3:N3"/>
    <mergeCell ref="B17:E17"/>
    <mergeCell ref="F17:H17"/>
    <mergeCell ref="B18:E18"/>
    <mergeCell ref="F18:H18"/>
    <mergeCell ref="I14:N14"/>
    <mergeCell ref="B15:H15"/>
    <mergeCell ref="I15:N15"/>
    <mergeCell ref="B16:E16"/>
    <mergeCell ref="F16:H16"/>
    <mergeCell ref="B22:E22"/>
    <mergeCell ref="F22:H22"/>
    <mergeCell ref="B23:E23"/>
    <mergeCell ref="F23:H23"/>
    <mergeCell ref="B19:H20"/>
    <mergeCell ref="B21:E21"/>
    <mergeCell ref="F21:H21"/>
    <mergeCell ref="B24:E24"/>
    <mergeCell ref="F24:H24"/>
    <mergeCell ref="B25:H26"/>
    <mergeCell ref="I26:N27"/>
    <mergeCell ref="B27:E27"/>
    <mergeCell ref="F27:H27"/>
    <mergeCell ref="I31:N32"/>
    <mergeCell ref="B32:H33"/>
    <mergeCell ref="B34:E34"/>
    <mergeCell ref="F34:H34"/>
    <mergeCell ref="B28:E28"/>
    <mergeCell ref="F28:H28"/>
    <mergeCell ref="B29:H30"/>
    <mergeCell ref="B35:H36"/>
    <mergeCell ref="B37:E37"/>
    <mergeCell ref="F37:H37"/>
    <mergeCell ref="B31:E31"/>
    <mergeCell ref="F31:H31"/>
    <mergeCell ref="A44:A46"/>
    <mergeCell ref="B44:F44"/>
    <mergeCell ref="B45:F45"/>
    <mergeCell ref="B46:F46"/>
    <mergeCell ref="B38:H39"/>
    <mergeCell ref="B40:E40"/>
    <mergeCell ref="F40:H40"/>
    <mergeCell ref="D62:N62"/>
    <mergeCell ref="D63:N63"/>
    <mergeCell ref="D64:N64"/>
    <mergeCell ref="D65:N65"/>
    <mergeCell ref="B41:E41"/>
    <mergeCell ref="F41:H41"/>
    <mergeCell ref="B43:N43"/>
    <mergeCell ref="A48:A51"/>
    <mergeCell ref="B49:F49"/>
    <mergeCell ref="B50:F50"/>
    <mergeCell ref="B51:F51"/>
    <mergeCell ref="B61:N61"/>
    <mergeCell ref="D70:N70"/>
    <mergeCell ref="D71:N71"/>
    <mergeCell ref="D72:N72"/>
    <mergeCell ref="D66:N66"/>
    <mergeCell ref="D67:N67"/>
    <mergeCell ref="B94:C94"/>
    <mergeCell ref="B14:H14"/>
    <mergeCell ref="B53:H53"/>
    <mergeCell ref="I53:N53"/>
    <mergeCell ref="B62:C63"/>
    <mergeCell ref="K49:N50"/>
    <mergeCell ref="K44:N45"/>
    <mergeCell ref="G44:J46"/>
    <mergeCell ref="G48:J51"/>
    <mergeCell ref="K46:N46"/>
    <mergeCell ref="K51:N51"/>
    <mergeCell ref="B86:N86"/>
    <mergeCell ref="B82:N82"/>
    <mergeCell ref="B73:H73"/>
    <mergeCell ref="D68:N68"/>
    <mergeCell ref="D69:N69"/>
  </mergeCells>
  <hyperlinks>
    <hyperlink ref="D5" r:id="rId1" tooltip="http://vrw-gh.github.io/vrw-GH" display="http://vrw-gh.github.io/vrw-GH" xr:uid="{7D53EDF5-9CBB-4F14-B122-26ABA5AC8FDF}"/>
    <hyperlink ref="I6" r:id="rId2" display="mailto:victor.wright@outlook.de" xr:uid="{0F052A99-3C45-433C-AD20-87E5B67B2F2A}"/>
    <hyperlink ref="K46" r:id="rId3" tooltip="https://vrw-gh.github.io/final-project-wd020/" display="https://vrw-gh.github.io/final-project-wd020/" xr:uid="{D85BF820-59BC-486A-A0A5-2740C447CF2D}"/>
    <hyperlink ref="I88" r:id="rId4" display="mailto:jserranopaul@gmail.com" xr:uid="{5C3E0632-959E-403A-8ABF-FA990F38B2DB}"/>
  </hyperlinks>
  <printOptions horizontalCentered="1"/>
  <pageMargins left="7.874015748031496E-2" right="7.874015748031496E-2" top="7.874015748031496E-2" bottom="7.874015748031496E-2" header="7.874015748031496E-2" footer="7.874015748031496E-2"/>
  <pageSetup paperSize="9" scale="93" fitToHeight="0"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9F105-AB7F-4E37-A4C0-D60E32BDFC64}">
  <dimension ref="A1:O115"/>
  <sheetViews>
    <sheetView workbookViewId="0"/>
  </sheetViews>
  <sheetFormatPr defaultRowHeight="15"/>
  <cols>
    <col min="1" max="1" width="2.28515625" customWidth="1"/>
    <col min="4" max="4" width="5.28515625" customWidth="1"/>
    <col min="5" max="5" width="12.85546875" customWidth="1"/>
    <col min="6" max="7" width="0.85546875" customWidth="1"/>
    <col min="8" max="8" width="9.28515625" customWidth="1"/>
    <col min="9" max="9" width="6.5703125" customWidth="1"/>
    <col min="10" max="14" width="7.7109375" customWidth="1"/>
    <col min="15" max="15" width="8.85546875" customWidth="1"/>
  </cols>
  <sheetData>
    <row r="1" spans="1:15">
      <c r="A1" s="34"/>
      <c r="B1" s="35"/>
      <c r="C1" s="35"/>
      <c r="D1" s="35"/>
      <c r="E1" s="35"/>
      <c r="F1" s="35"/>
      <c r="G1" s="35"/>
      <c r="H1" s="35"/>
      <c r="I1" s="35"/>
      <c r="J1" s="35"/>
      <c r="K1" s="259"/>
      <c r="L1" s="260"/>
      <c r="M1" s="260"/>
      <c r="N1" s="260"/>
      <c r="O1" s="260"/>
    </row>
    <row r="2" spans="1:15" ht="6" customHeight="1">
      <c r="A2" s="36"/>
      <c r="B2" s="264" t="s">
        <v>137</v>
      </c>
      <c r="C2" s="264"/>
      <c r="D2" s="264"/>
      <c r="E2" s="264"/>
      <c r="F2" s="36"/>
      <c r="G2" s="49"/>
      <c r="H2" s="50"/>
      <c r="I2" s="50"/>
      <c r="J2" s="50"/>
      <c r="K2" s="50"/>
      <c r="L2" s="50"/>
      <c r="M2" s="50"/>
      <c r="N2" s="50"/>
      <c r="O2" s="50"/>
    </row>
    <row r="3" spans="1:15">
      <c r="A3" s="36"/>
      <c r="B3" s="264"/>
      <c r="C3" s="264"/>
      <c r="D3" s="264"/>
      <c r="E3" s="264"/>
      <c r="F3" s="36"/>
      <c r="G3" s="51"/>
      <c r="H3" s="245" t="s">
        <v>138</v>
      </c>
      <c r="I3" s="246"/>
      <c r="J3" s="246"/>
      <c r="K3" s="246"/>
      <c r="L3" s="246"/>
      <c r="M3" s="246"/>
      <c r="N3" s="246"/>
      <c r="O3" s="246"/>
    </row>
    <row r="4" spans="1:15">
      <c r="A4" s="36"/>
      <c r="B4" s="264"/>
      <c r="C4" s="264"/>
      <c r="D4" s="264"/>
      <c r="E4" s="264"/>
      <c r="F4" s="36"/>
      <c r="G4" s="51"/>
      <c r="H4" s="258" t="s">
        <v>139</v>
      </c>
      <c r="I4" s="258"/>
      <c r="J4" s="258"/>
      <c r="K4" s="247" t="s">
        <v>140</v>
      </c>
      <c r="L4" s="248"/>
      <c r="M4" s="248"/>
      <c r="N4" s="248"/>
      <c r="O4" s="248"/>
    </row>
    <row r="5" spans="1:15">
      <c r="A5" s="36"/>
      <c r="B5" s="265" t="s">
        <v>1</v>
      </c>
      <c r="C5" s="265"/>
      <c r="D5" s="265"/>
      <c r="E5" s="265"/>
      <c r="F5" s="36"/>
      <c r="G5" s="51"/>
      <c r="H5" s="258"/>
      <c r="I5" s="258"/>
      <c r="J5" s="258"/>
      <c r="K5" s="266" t="s">
        <v>141</v>
      </c>
      <c r="L5" s="266"/>
      <c r="M5" s="266"/>
      <c r="N5" s="266"/>
      <c r="O5" s="266"/>
    </row>
    <row r="6" spans="1:15">
      <c r="A6" s="36"/>
      <c r="B6" s="265"/>
      <c r="C6" s="265"/>
      <c r="D6" s="265"/>
      <c r="E6" s="265"/>
      <c r="F6" s="36"/>
      <c r="G6" s="51"/>
      <c r="K6" s="266"/>
      <c r="L6" s="266"/>
      <c r="M6" s="266"/>
      <c r="N6" s="266"/>
      <c r="O6" s="266"/>
    </row>
    <row r="7" spans="1:15">
      <c r="A7" s="36"/>
      <c r="B7" s="281"/>
      <c r="C7" s="282"/>
      <c r="D7" s="282"/>
      <c r="E7" s="282"/>
      <c r="F7" s="36"/>
      <c r="G7" s="51"/>
      <c r="H7" s="197"/>
      <c r="I7" s="197"/>
      <c r="J7" s="197"/>
      <c r="K7" s="266"/>
      <c r="L7" s="266"/>
      <c r="M7" s="266"/>
      <c r="N7" s="266"/>
      <c r="O7" s="266"/>
    </row>
    <row r="8" spans="1:15">
      <c r="A8" s="36"/>
      <c r="B8" s="282"/>
      <c r="C8" s="282"/>
      <c r="D8" s="282"/>
      <c r="E8" s="282"/>
      <c r="F8" s="36"/>
      <c r="G8" s="51"/>
      <c r="H8" s="197"/>
      <c r="I8" s="197"/>
      <c r="J8" s="197"/>
      <c r="K8" s="267"/>
      <c r="L8" s="267"/>
      <c r="M8" s="267"/>
      <c r="N8" s="267"/>
      <c r="O8" s="267"/>
    </row>
    <row r="9" spans="1:15">
      <c r="A9" s="36"/>
      <c r="B9" s="282"/>
      <c r="C9" s="282"/>
      <c r="D9" s="282"/>
      <c r="E9" s="282"/>
      <c r="F9" s="36"/>
      <c r="G9" s="51"/>
      <c r="H9" s="249" t="s">
        <v>142</v>
      </c>
      <c r="I9" s="250"/>
      <c r="J9" s="250"/>
      <c r="K9" s="266" t="s">
        <v>143</v>
      </c>
      <c r="L9" s="268"/>
      <c r="M9" s="268"/>
      <c r="N9" s="268"/>
      <c r="O9" s="268"/>
    </row>
    <row r="10" spans="1:15">
      <c r="A10" s="36"/>
      <c r="B10" s="282"/>
      <c r="C10" s="282"/>
      <c r="D10" s="282"/>
      <c r="E10" s="282"/>
      <c r="F10" s="36"/>
      <c r="G10" s="51"/>
      <c r="H10" s="250"/>
      <c r="I10" s="250"/>
      <c r="J10" s="250"/>
      <c r="K10" s="268"/>
      <c r="L10" s="268"/>
      <c r="M10" s="268"/>
      <c r="N10" s="268"/>
      <c r="O10" s="268"/>
    </row>
    <row r="11" spans="1:15">
      <c r="A11" s="36"/>
      <c r="B11" s="282"/>
      <c r="C11" s="282"/>
      <c r="D11" s="282"/>
      <c r="E11" s="282"/>
      <c r="F11" s="36"/>
      <c r="G11" s="51"/>
      <c r="K11" s="268"/>
      <c r="L11" s="268"/>
      <c r="M11" s="268"/>
      <c r="N11" s="268"/>
      <c r="O11" s="268"/>
    </row>
    <row r="12" spans="1:15">
      <c r="A12" s="36"/>
      <c r="B12" s="282"/>
      <c r="C12" s="282"/>
      <c r="D12" s="282"/>
      <c r="E12" s="282"/>
      <c r="F12" s="36"/>
      <c r="G12" s="52"/>
      <c r="K12" s="267"/>
      <c r="L12" s="267"/>
      <c r="M12" s="267"/>
      <c r="N12" s="267"/>
      <c r="O12" s="267"/>
    </row>
    <row r="13" spans="1:15">
      <c r="A13" s="36"/>
      <c r="B13" s="282"/>
      <c r="C13" s="282"/>
      <c r="D13" s="282"/>
      <c r="E13" s="282"/>
      <c r="F13" s="46"/>
      <c r="G13" s="51"/>
      <c r="H13" s="249" t="s">
        <v>144</v>
      </c>
      <c r="I13" s="249"/>
      <c r="J13" s="249"/>
      <c r="K13" s="247" t="s">
        <v>145</v>
      </c>
      <c r="L13" s="248"/>
      <c r="M13" s="248"/>
      <c r="N13" s="248"/>
      <c r="O13" s="248"/>
    </row>
    <row r="14" spans="1:15">
      <c r="A14" s="36"/>
      <c r="B14" s="282"/>
      <c r="C14" s="282"/>
      <c r="D14" s="282"/>
      <c r="E14" s="282"/>
      <c r="F14" s="46"/>
      <c r="G14" s="51"/>
      <c r="H14" s="249"/>
      <c r="I14" s="249"/>
      <c r="J14" s="249"/>
      <c r="K14" s="266" t="s">
        <v>146</v>
      </c>
      <c r="L14" s="266"/>
      <c r="M14" s="266"/>
      <c r="N14" s="266"/>
      <c r="O14" s="266"/>
    </row>
    <row r="15" spans="1:15">
      <c r="A15" s="36"/>
      <c r="B15" s="282"/>
      <c r="C15" s="282"/>
      <c r="D15" s="282"/>
      <c r="E15" s="282"/>
      <c r="F15" s="36"/>
      <c r="G15" s="51"/>
      <c r="H15" s="250"/>
      <c r="I15" s="250"/>
      <c r="J15" s="250"/>
      <c r="K15" s="266"/>
      <c r="L15" s="266"/>
      <c r="M15" s="266"/>
      <c r="N15" s="266"/>
      <c r="O15" s="266"/>
    </row>
    <row r="16" spans="1:15">
      <c r="A16" s="36"/>
      <c r="B16" s="282"/>
      <c r="C16" s="282"/>
      <c r="D16" s="282"/>
      <c r="E16" s="282"/>
      <c r="F16" s="36"/>
      <c r="G16" s="51"/>
      <c r="H16" s="251" t="s">
        <v>147</v>
      </c>
      <c r="I16" s="251"/>
      <c r="J16" s="251"/>
      <c r="K16" s="266"/>
      <c r="L16" s="266"/>
      <c r="M16" s="266"/>
      <c r="N16" s="266"/>
      <c r="O16" s="266"/>
    </row>
    <row r="17" spans="1:15">
      <c r="A17" s="36"/>
      <c r="B17" s="43" t="s">
        <v>148</v>
      </c>
      <c r="C17" s="36"/>
      <c r="D17" s="36"/>
      <c r="E17" s="36"/>
      <c r="F17" s="36"/>
      <c r="G17" s="53"/>
      <c r="H17" s="251"/>
      <c r="I17" s="251"/>
      <c r="J17" s="251"/>
      <c r="K17" s="266"/>
      <c r="L17" s="266"/>
      <c r="M17" s="266"/>
      <c r="N17" s="266"/>
      <c r="O17" s="266"/>
    </row>
    <row r="18" spans="1:15">
      <c r="A18" s="36"/>
      <c r="B18" s="43" t="s">
        <v>149</v>
      </c>
      <c r="C18" s="36"/>
      <c r="D18" s="36"/>
      <c r="E18" s="36"/>
      <c r="F18" s="36"/>
      <c r="G18" s="53"/>
      <c r="H18" s="252"/>
      <c r="I18" s="252"/>
      <c r="J18" s="252"/>
      <c r="K18" s="266" t="s">
        <v>150</v>
      </c>
      <c r="L18" s="266"/>
      <c r="M18" s="266"/>
      <c r="N18" s="266"/>
      <c r="O18" s="266"/>
    </row>
    <row r="19" spans="1:15">
      <c r="A19" s="36"/>
      <c r="B19" s="43" t="s">
        <v>151</v>
      </c>
      <c r="C19" s="36"/>
      <c r="D19" s="36"/>
      <c r="E19" s="36"/>
      <c r="F19" s="36"/>
      <c r="G19" s="53"/>
      <c r="H19" s="252"/>
      <c r="I19" s="252"/>
      <c r="J19" s="252"/>
      <c r="K19" s="266"/>
      <c r="L19" s="266"/>
      <c r="M19" s="266"/>
      <c r="N19" s="266"/>
      <c r="O19" s="266"/>
    </row>
    <row r="20" spans="1:15">
      <c r="A20" s="36"/>
      <c r="B20" s="43" t="s">
        <v>152</v>
      </c>
      <c r="C20" s="36"/>
      <c r="D20" s="36"/>
      <c r="E20" s="36"/>
      <c r="F20" s="38"/>
      <c r="G20" s="53"/>
      <c r="H20" s="252"/>
      <c r="I20" s="252"/>
      <c r="J20" s="252"/>
      <c r="K20" s="266" t="s">
        <v>153</v>
      </c>
      <c r="L20" s="266"/>
      <c r="M20" s="266"/>
      <c r="N20" s="266"/>
      <c r="O20" s="266"/>
    </row>
    <row r="21" spans="1:15">
      <c r="A21" s="36"/>
      <c r="B21" s="263" t="s">
        <v>154</v>
      </c>
      <c r="C21" s="263"/>
      <c r="D21" s="263"/>
      <c r="E21" s="263"/>
      <c r="F21" s="38"/>
      <c r="G21" s="53"/>
      <c r="H21" s="252"/>
      <c r="I21" s="252"/>
      <c r="J21" s="252"/>
      <c r="K21" s="266"/>
      <c r="L21" s="266"/>
      <c r="M21" s="266"/>
      <c r="N21" s="266"/>
      <c r="O21" s="266"/>
    </row>
    <row r="22" spans="1:15">
      <c r="A22" s="36"/>
      <c r="B22" s="263"/>
      <c r="C22" s="263"/>
      <c r="D22" s="263"/>
      <c r="E22" s="263"/>
      <c r="F22" s="38"/>
      <c r="G22" s="53"/>
      <c r="H22" s="252"/>
      <c r="I22" s="252"/>
      <c r="J22" s="252"/>
      <c r="K22" s="266"/>
      <c r="L22" s="266"/>
      <c r="M22" s="266"/>
      <c r="N22" s="266"/>
      <c r="O22" s="266"/>
    </row>
    <row r="23" spans="1:15">
      <c r="A23" s="36"/>
      <c r="B23" s="263"/>
      <c r="C23" s="263"/>
      <c r="D23" s="263"/>
      <c r="E23" s="263"/>
      <c r="F23" s="38"/>
      <c r="G23" s="53"/>
      <c r="H23" s="252"/>
      <c r="I23" s="252"/>
      <c r="J23" s="252"/>
      <c r="K23" s="266"/>
      <c r="L23" s="266"/>
      <c r="M23" s="266"/>
      <c r="N23" s="266"/>
      <c r="O23" s="266"/>
    </row>
    <row r="24" spans="1:15">
      <c r="A24" s="36"/>
      <c r="B24" s="263"/>
      <c r="C24" s="263"/>
      <c r="D24" s="263"/>
      <c r="E24" s="263"/>
      <c r="F24" s="38"/>
      <c r="G24" s="53"/>
      <c r="H24" s="252"/>
      <c r="I24" s="252"/>
      <c r="J24" s="252"/>
      <c r="K24" s="266" t="s">
        <v>155</v>
      </c>
      <c r="L24" s="266"/>
      <c r="M24" s="266"/>
      <c r="N24" s="266"/>
      <c r="O24" s="266"/>
    </row>
    <row r="25" spans="1:15">
      <c r="A25" s="36"/>
      <c r="B25" s="263"/>
      <c r="C25" s="263"/>
      <c r="D25" s="263"/>
      <c r="E25" s="263"/>
      <c r="F25" s="38"/>
      <c r="G25" s="54"/>
      <c r="H25" s="252"/>
      <c r="I25" s="252"/>
      <c r="J25" s="252"/>
      <c r="K25" s="266"/>
      <c r="L25" s="266"/>
      <c r="M25" s="266"/>
      <c r="N25" s="266"/>
      <c r="O25" s="266"/>
    </row>
    <row r="26" spans="1:15">
      <c r="A26" s="36"/>
      <c r="B26" s="263"/>
      <c r="C26" s="263"/>
      <c r="D26" s="263"/>
      <c r="E26" s="263"/>
      <c r="F26" s="38"/>
      <c r="G26" s="55"/>
      <c r="H26" s="271" t="s">
        <v>156</v>
      </c>
      <c r="I26" s="271"/>
      <c r="J26" s="271"/>
      <c r="K26" s="266"/>
      <c r="L26" s="266"/>
      <c r="M26" s="266"/>
      <c r="N26" s="266"/>
      <c r="O26" s="266"/>
    </row>
    <row r="27" spans="1:15">
      <c r="A27" s="36"/>
      <c r="B27" s="263"/>
      <c r="C27" s="263"/>
      <c r="D27" s="263"/>
      <c r="E27" s="263"/>
      <c r="F27" s="38"/>
      <c r="G27" s="56"/>
      <c r="H27" s="271"/>
      <c r="I27" s="271"/>
      <c r="J27" s="271"/>
      <c r="K27" s="266"/>
      <c r="L27" s="266"/>
      <c r="M27" s="266"/>
      <c r="N27" s="266"/>
      <c r="O27" s="266"/>
    </row>
    <row r="28" spans="1:15" ht="18" customHeight="1">
      <c r="A28" s="36"/>
      <c r="B28" s="263"/>
      <c r="C28" s="263"/>
      <c r="D28" s="263"/>
      <c r="E28" s="263"/>
      <c r="F28" s="47"/>
      <c r="G28" s="56"/>
      <c r="K28" s="266" t="s">
        <v>157</v>
      </c>
      <c r="L28" s="266"/>
      <c r="M28" s="266"/>
      <c r="N28" s="266"/>
      <c r="O28" s="266"/>
    </row>
    <row r="29" spans="1:15" ht="18" customHeight="1">
      <c r="A29" s="36"/>
      <c r="B29" s="38"/>
      <c r="C29" s="38"/>
      <c r="D29" s="38"/>
      <c r="E29" s="38"/>
      <c r="F29" s="47"/>
      <c r="G29" s="56"/>
      <c r="K29" s="266" t="s">
        <v>158</v>
      </c>
      <c r="L29" s="266"/>
      <c r="M29" s="266"/>
      <c r="N29" s="266"/>
      <c r="O29" s="266"/>
    </row>
    <row r="30" spans="1:15">
      <c r="A30" s="36"/>
      <c r="B30" s="277" t="s">
        <v>12</v>
      </c>
      <c r="C30" s="277"/>
      <c r="D30" s="277"/>
      <c r="E30" s="277"/>
      <c r="F30" s="48"/>
      <c r="G30" s="56"/>
      <c r="H30" s="57"/>
      <c r="K30" s="266" t="s">
        <v>159</v>
      </c>
      <c r="L30" s="266"/>
      <c r="M30" s="266"/>
      <c r="N30" s="266"/>
      <c r="O30" s="266"/>
    </row>
    <row r="31" spans="1:15">
      <c r="A31" s="36"/>
      <c r="B31" s="261" t="s">
        <v>14</v>
      </c>
      <c r="C31" s="262"/>
      <c r="D31" s="262"/>
      <c r="E31" s="40"/>
      <c r="F31" s="39"/>
      <c r="G31" s="55"/>
      <c r="H31" s="57"/>
      <c r="K31" s="266"/>
      <c r="L31" s="266"/>
      <c r="M31" s="266"/>
      <c r="N31" s="266"/>
      <c r="O31" s="266"/>
    </row>
    <row r="32" spans="1:15">
      <c r="A32" s="36"/>
      <c r="B32" s="44" t="s">
        <v>160</v>
      </c>
      <c r="C32" s="36"/>
      <c r="D32" s="36"/>
      <c r="E32" s="45">
        <v>7</v>
      </c>
      <c r="F32" s="39"/>
      <c r="G32" s="56"/>
      <c r="H32" s="58"/>
      <c r="K32" s="266"/>
      <c r="L32" s="266"/>
      <c r="M32" s="266"/>
      <c r="N32" s="266"/>
      <c r="O32" s="266"/>
    </row>
    <row r="33" spans="1:15">
      <c r="A33" s="36"/>
      <c r="B33" s="44" t="s">
        <v>161</v>
      </c>
      <c r="C33" s="36"/>
      <c r="D33" s="36"/>
      <c r="E33" s="39">
        <v>7</v>
      </c>
      <c r="F33" s="48"/>
      <c r="G33" s="56"/>
      <c r="H33" s="57"/>
      <c r="K33" s="266"/>
      <c r="L33" s="266"/>
      <c r="M33" s="266"/>
      <c r="N33" s="266"/>
      <c r="O33" s="266"/>
    </row>
    <row r="34" spans="1:15">
      <c r="A34" s="36"/>
      <c r="B34" s="44" t="s">
        <v>162</v>
      </c>
      <c r="C34" s="36"/>
      <c r="D34" s="36"/>
      <c r="E34" s="39">
        <v>1</v>
      </c>
      <c r="F34" s="39"/>
      <c r="G34" s="56"/>
      <c r="H34" s="57"/>
      <c r="K34" s="266" t="s">
        <v>163</v>
      </c>
      <c r="L34" s="266"/>
      <c r="M34" s="266"/>
      <c r="N34" s="266"/>
      <c r="O34" s="266"/>
    </row>
    <row r="35" spans="1:15">
      <c r="A35" s="36"/>
      <c r="B35" s="261" t="s">
        <v>26</v>
      </c>
      <c r="C35" s="262"/>
      <c r="D35" s="262"/>
      <c r="E35" s="40"/>
      <c r="F35" s="39"/>
      <c r="G35" s="56"/>
      <c r="K35" s="266"/>
      <c r="L35" s="266"/>
      <c r="M35" s="266"/>
      <c r="N35" s="266"/>
      <c r="O35" s="266"/>
    </row>
    <row r="36" spans="1:15">
      <c r="A36" s="36"/>
      <c r="B36" s="44" t="s">
        <v>164</v>
      </c>
      <c r="C36" s="36"/>
      <c r="D36" s="36"/>
      <c r="E36" s="39">
        <v>7</v>
      </c>
      <c r="F36" s="39"/>
      <c r="G36" s="55"/>
      <c r="K36" s="266" t="s">
        <v>165</v>
      </c>
      <c r="L36" s="266"/>
      <c r="M36" s="266"/>
      <c r="N36" s="266"/>
      <c r="O36" s="266"/>
    </row>
    <row r="37" spans="1:15">
      <c r="A37" s="36"/>
      <c r="B37" s="44" t="s">
        <v>166</v>
      </c>
      <c r="C37" s="36"/>
      <c r="D37" s="36"/>
      <c r="E37" s="39">
        <v>6</v>
      </c>
      <c r="F37" s="39"/>
      <c r="G37" s="56"/>
      <c r="K37" s="266"/>
      <c r="L37" s="266"/>
      <c r="M37" s="266"/>
      <c r="N37" s="266"/>
      <c r="O37" s="266"/>
    </row>
    <row r="38" spans="1:15">
      <c r="A38" s="36"/>
      <c r="B38" s="44" t="s">
        <v>167</v>
      </c>
      <c r="C38" s="36"/>
      <c r="D38" s="36"/>
      <c r="E38" s="39">
        <v>3</v>
      </c>
      <c r="F38" s="48"/>
      <c r="G38" s="56"/>
    </row>
    <row r="39" spans="1:15">
      <c r="A39" s="36"/>
      <c r="B39" s="44" t="s">
        <v>168</v>
      </c>
      <c r="C39" s="36"/>
      <c r="D39" s="36"/>
      <c r="E39" s="39">
        <v>1</v>
      </c>
      <c r="F39" s="48"/>
      <c r="G39" s="55"/>
      <c r="H39" s="279" t="s">
        <v>169</v>
      </c>
      <c r="I39" s="279"/>
      <c r="J39" s="279"/>
      <c r="K39" s="279"/>
      <c r="L39" s="279"/>
      <c r="M39" s="279"/>
      <c r="N39" s="279"/>
      <c r="O39" s="279"/>
    </row>
    <row r="40" spans="1:15">
      <c r="A40" s="36"/>
      <c r="B40" s="261" t="s">
        <v>42</v>
      </c>
      <c r="C40" s="262"/>
      <c r="D40" s="262"/>
      <c r="E40" s="40"/>
      <c r="F40" s="39"/>
      <c r="G40" s="56"/>
      <c r="H40" s="269" t="s">
        <v>170</v>
      </c>
      <c r="I40" s="269"/>
      <c r="J40" s="269"/>
      <c r="K40" s="247" t="s">
        <v>106</v>
      </c>
      <c r="L40" s="248"/>
      <c r="M40" s="248"/>
      <c r="N40" s="248"/>
      <c r="O40" s="248"/>
    </row>
    <row r="41" spans="1:15">
      <c r="A41" s="36"/>
      <c r="B41" s="44" t="s">
        <v>171</v>
      </c>
      <c r="C41" s="36"/>
      <c r="D41" s="36"/>
      <c r="E41" s="39">
        <v>5</v>
      </c>
      <c r="F41" s="39"/>
      <c r="G41" s="55"/>
      <c r="H41" s="269"/>
      <c r="I41" s="269"/>
      <c r="J41" s="269"/>
      <c r="K41" s="266" t="s">
        <v>172</v>
      </c>
      <c r="L41" s="266"/>
      <c r="M41" s="266"/>
      <c r="N41" s="266"/>
      <c r="O41" s="266"/>
    </row>
    <row r="42" spans="1:15">
      <c r="A42" s="36"/>
      <c r="B42" s="44" t="s">
        <v>173</v>
      </c>
      <c r="C42" s="36"/>
      <c r="D42" s="36"/>
      <c r="E42" s="39">
        <v>2</v>
      </c>
      <c r="F42" s="48"/>
      <c r="G42" s="56"/>
      <c r="H42" s="270"/>
      <c r="I42" s="270"/>
      <c r="J42" s="270"/>
      <c r="K42" s="266"/>
      <c r="L42" s="266"/>
      <c r="M42" s="266"/>
      <c r="N42" s="266"/>
      <c r="O42" s="266"/>
    </row>
    <row r="43" spans="1:15">
      <c r="A43" s="36"/>
      <c r="B43" s="261" t="s">
        <v>174</v>
      </c>
      <c r="C43" s="262"/>
      <c r="D43" s="262"/>
      <c r="E43" s="40"/>
      <c r="F43" s="39"/>
      <c r="G43" s="55"/>
      <c r="K43" s="198"/>
      <c r="L43" s="198"/>
      <c r="M43" s="198"/>
      <c r="N43" s="198"/>
      <c r="O43" s="198"/>
    </row>
    <row r="44" spans="1:15">
      <c r="A44" s="36"/>
      <c r="B44" s="44" t="s">
        <v>175</v>
      </c>
      <c r="C44" s="36"/>
      <c r="D44" s="36"/>
      <c r="E44" s="39">
        <v>6</v>
      </c>
      <c r="F44" s="39"/>
      <c r="G44" s="56"/>
      <c r="H44" s="278" t="s">
        <v>176</v>
      </c>
      <c r="I44" s="270"/>
      <c r="J44" s="270"/>
      <c r="K44" s="247" t="s">
        <v>108</v>
      </c>
      <c r="L44" s="248"/>
      <c r="M44" s="248"/>
      <c r="N44" s="248"/>
      <c r="O44" s="248"/>
    </row>
    <row r="45" spans="1:15">
      <c r="A45" s="36"/>
      <c r="B45" s="44" t="s">
        <v>177</v>
      </c>
      <c r="C45" s="36"/>
      <c r="D45" s="36"/>
      <c r="E45" s="39">
        <v>3</v>
      </c>
      <c r="F45" s="39"/>
      <c r="G45" s="55"/>
      <c r="H45" s="270"/>
      <c r="I45" s="270"/>
      <c r="J45" s="270"/>
      <c r="K45" s="62" t="s">
        <v>178</v>
      </c>
      <c r="L45" s="65"/>
      <c r="M45" s="66"/>
      <c r="N45" s="66"/>
      <c r="O45" s="66"/>
    </row>
    <row r="46" spans="1:15">
      <c r="A46" s="36"/>
      <c r="B46" s="44" t="s">
        <v>179</v>
      </c>
      <c r="C46" s="36"/>
      <c r="D46" s="36"/>
      <c r="E46" s="39">
        <v>4</v>
      </c>
      <c r="F46" s="39"/>
      <c r="G46" s="52"/>
      <c r="K46" s="198"/>
      <c r="L46" s="198"/>
      <c r="M46" s="198"/>
      <c r="N46" s="198"/>
      <c r="O46" s="198"/>
    </row>
    <row r="47" spans="1:15">
      <c r="A47" s="37"/>
      <c r="B47" s="44" t="s">
        <v>180</v>
      </c>
      <c r="C47" s="36"/>
      <c r="D47" s="36"/>
      <c r="E47" s="39">
        <v>4</v>
      </c>
      <c r="F47" s="39"/>
      <c r="G47" s="52"/>
      <c r="H47" s="278" t="s">
        <v>181</v>
      </c>
      <c r="I47" s="270"/>
      <c r="J47" s="270"/>
      <c r="K47" s="247" t="s">
        <v>182</v>
      </c>
      <c r="L47" s="248"/>
      <c r="M47" s="248"/>
      <c r="N47" s="248"/>
      <c r="O47" s="248"/>
    </row>
    <row r="48" spans="1:15">
      <c r="A48" s="37"/>
      <c r="B48" s="44" t="s">
        <v>183</v>
      </c>
      <c r="C48" s="36"/>
      <c r="D48" s="36"/>
      <c r="E48" s="39">
        <v>8</v>
      </c>
      <c r="F48" s="48"/>
      <c r="G48" s="52"/>
      <c r="H48" s="270"/>
      <c r="I48" s="270"/>
      <c r="J48" s="270"/>
      <c r="K48" s="62" t="s">
        <v>184</v>
      </c>
      <c r="L48" s="57"/>
      <c r="M48" s="66"/>
      <c r="N48" s="66"/>
      <c r="O48" s="66"/>
    </row>
    <row r="49" spans="1:15">
      <c r="A49" s="37"/>
      <c r="B49" s="41"/>
      <c r="C49" s="40"/>
      <c r="D49" s="40"/>
      <c r="E49" s="40"/>
      <c r="F49" s="48"/>
      <c r="G49" s="52"/>
      <c r="K49" s="198"/>
      <c r="L49" s="198"/>
      <c r="M49" s="198"/>
      <c r="N49" s="198"/>
      <c r="O49" s="198"/>
    </row>
    <row r="50" spans="1:15">
      <c r="A50" s="37"/>
      <c r="B50" s="41"/>
      <c r="C50" s="40"/>
      <c r="D50" s="40"/>
      <c r="E50" s="40"/>
      <c r="F50" s="48"/>
      <c r="G50" s="52"/>
      <c r="H50" s="278" t="s">
        <v>185</v>
      </c>
      <c r="I50" s="270"/>
      <c r="J50" s="270"/>
      <c r="K50" s="247" t="s">
        <v>114</v>
      </c>
      <c r="L50" s="248"/>
      <c r="M50" s="248"/>
      <c r="N50" s="248"/>
      <c r="O50" s="248"/>
    </row>
    <row r="51" spans="1:15">
      <c r="A51" s="37"/>
      <c r="B51" s="285" t="s">
        <v>3</v>
      </c>
      <c r="C51" s="285"/>
      <c r="D51" s="285"/>
      <c r="E51" s="285"/>
      <c r="F51" s="48"/>
      <c r="G51" s="52"/>
      <c r="H51" s="270"/>
      <c r="I51" s="270"/>
      <c r="J51" s="270"/>
      <c r="K51" s="62" t="s">
        <v>186</v>
      </c>
      <c r="L51" s="63"/>
      <c r="M51" s="63"/>
      <c r="N51" s="63"/>
      <c r="O51" s="63"/>
    </row>
    <row r="52" spans="1:15">
      <c r="A52" s="37"/>
      <c r="B52" s="283" t="s">
        <v>187</v>
      </c>
      <c r="C52" s="283"/>
      <c r="D52" s="283"/>
      <c r="E52" s="283"/>
      <c r="F52" s="48"/>
      <c r="G52" s="52"/>
      <c r="K52" s="198"/>
      <c r="L52" s="198"/>
      <c r="M52" s="198"/>
      <c r="N52" s="198"/>
      <c r="O52" s="198"/>
    </row>
    <row r="53" spans="1:15">
      <c r="A53" s="37"/>
      <c r="B53" s="283" t="s">
        <v>188</v>
      </c>
      <c r="C53" s="284"/>
      <c r="D53" s="284"/>
      <c r="E53" s="284"/>
      <c r="F53" s="48"/>
      <c r="G53" s="52"/>
      <c r="H53" s="258" t="s">
        <v>189</v>
      </c>
      <c r="I53" s="258"/>
      <c r="J53" s="258"/>
      <c r="K53" s="247" t="s">
        <v>117</v>
      </c>
      <c r="L53" s="248"/>
      <c r="M53" s="248"/>
      <c r="N53" s="248"/>
      <c r="O53" s="248"/>
    </row>
    <row r="54" spans="1:15">
      <c r="A54" s="37"/>
      <c r="B54" s="283" t="s">
        <v>190</v>
      </c>
      <c r="C54" s="284"/>
      <c r="D54" s="284"/>
      <c r="E54" s="284"/>
      <c r="F54" s="48"/>
      <c r="G54" s="52"/>
      <c r="H54" s="270"/>
      <c r="I54" s="270"/>
      <c r="J54" s="270"/>
      <c r="K54" s="62" t="s">
        <v>191</v>
      </c>
      <c r="L54" s="63"/>
      <c r="M54" s="63"/>
      <c r="N54" s="63"/>
      <c r="O54" s="63"/>
    </row>
    <row r="55" spans="1:15">
      <c r="A55" s="37"/>
      <c r="B55" s="41"/>
      <c r="C55" s="40"/>
      <c r="D55" s="40"/>
      <c r="E55" s="40"/>
      <c r="F55" s="48"/>
      <c r="G55" s="52"/>
      <c r="K55" s="198"/>
      <c r="L55" s="198"/>
      <c r="M55" s="198"/>
      <c r="N55" s="198"/>
      <c r="O55" s="198"/>
    </row>
    <row r="56" spans="1:15" ht="15" customHeight="1">
      <c r="A56" s="37"/>
      <c r="B56" s="195" t="s">
        <v>192</v>
      </c>
      <c r="C56" s="40"/>
      <c r="D56" s="40"/>
      <c r="E56" s="40"/>
      <c r="F56" s="48"/>
      <c r="G56" s="52"/>
      <c r="H56" s="258" t="s">
        <v>193</v>
      </c>
      <c r="I56" s="258"/>
      <c r="J56" s="258"/>
      <c r="K56" s="247" t="s">
        <v>194</v>
      </c>
      <c r="L56" s="248"/>
      <c r="M56" s="248"/>
      <c r="N56" s="248"/>
      <c r="O56" s="248"/>
    </row>
    <row r="57" spans="1:15">
      <c r="A57" s="37"/>
      <c r="B57" s="195" t="s">
        <v>195</v>
      </c>
      <c r="C57" s="40"/>
      <c r="D57" s="40"/>
      <c r="E57" s="40"/>
      <c r="F57" s="48"/>
      <c r="G57" s="52"/>
      <c r="H57" s="270"/>
      <c r="I57" s="270"/>
      <c r="J57" s="270"/>
      <c r="K57" s="62" t="s">
        <v>196</v>
      </c>
      <c r="L57" s="63"/>
      <c r="M57" s="63"/>
      <c r="N57" s="63"/>
      <c r="O57" s="63"/>
    </row>
    <row r="58" spans="1:15">
      <c r="A58" s="37"/>
      <c r="B58" s="41"/>
      <c r="C58" s="40"/>
      <c r="D58" s="40"/>
      <c r="E58" s="40"/>
      <c r="F58" s="48"/>
      <c r="G58" s="52"/>
      <c r="K58" s="190"/>
      <c r="L58" s="190"/>
      <c r="M58" s="190"/>
      <c r="N58" s="190"/>
      <c r="O58" s="190"/>
    </row>
    <row r="59" spans="1:15">
      <c r="A59" s="37"/>
      <c r="B59" s="41"/>
      <c r="C59" s="40"/>
      <c r="D59" s="40"/>
      <c r="E59" s="40"/>
      <c r="F59" s="35"/>
      <c r="G59" s="35"/>
      <c r="H59" s="35"/>
      <c r="I59" s="35"/>
      <c r="J59" s="35"/>
      <c r="K59" s="259"/>
      <c r="L59" s="260"/>
      <c r="M59" s="260"/>
      <c r="N59" s="260"/>
      <c r="O59" s="260"/>
    </row>
    <row r="60" spans="1:15">
      <c r="A60" s="37"/>
      <c r="B60" s="41"/>
      <c r="C60" s="40"/>
      <c r="D60" s="40"/>
      <c r="E60" s="40"/>
      <c r="F60" s="48"/>
      <c r="G60" s="49"/>
      <c r="H60" s="50"/>
      <c r="I60" s="50"/>
      <c r="J60" s="50"/>
      <c r="K60" s="50"/>
      <c r="L60" s="50"/>
      <c r="M60" s="50"/>
      <c r="N60" s="50"/>
      <c r="O60" s="50"/>
    </row>
    <row r="61" spans="1:15">
      <c r="A61" s="37"/>
      <c r="B61" s="277" t="s">
        <v>197</v>
      </c>
      <c r="C61" s="277"/>
      <c r="D61" s="277"/>
      <c r="E61" s="277"/>
      <c r="F61" s="48"/>
      <c r="G61" s="52"/>
      <c r="H61" s="279" t="s">
        <v>198</v>
      </c>
      <c r="I61" s="279"/>
      <c r="J61" s="279"/>
      <c r="K61" s="279"/>
      <c r="L61" s="279"/>
      <c r="M61" s="279"/>
      <c r="N61" s="279"/>
      <c r="O61" s="279"/>
    </row>
    <row r="62" spans="1:15">
      <c r="A62" s="36"/>
      <c r="B62" s="261" t="s">
        <v>15</v>
      </c>
      <c r="C62" s="262"/>
      <c r="D62" s="262"/>
      <c r="E62" s="40"/>
      <c r="F62" s="39"/>
      <c r="G62" s="56"/>
      <c r="H62" s="258" t="s">
        <v>199</v>
      </c>
      <c r="I62" s="258"/>
      <c r="J62" s="258"/>
      <c r="K62" s="247" t="s">
        <v>123</v>
      </c>
      <c r="L62" s="248"/>
      <c r="M62" s="248"/>
      <c r="N62" s="248"/>
      <c r="O62" s="248"/>
    </row>
    <row r="63" spans="1:15">
      <c r="A63" s="36"/>
      <c r="B63" s="44" t="s">
        <v>200</v>
      </c>
      <c r="C63" s="36"/>
      <c r="D63" s="35"/>
      <c r="E63" s="39">
        <v>9</v>
      </c>
      <c r="F63" s="39"/>
      <c r="G63" s="56"/>
      <c r="H63" s="258"/>
      <c r="I63" s="258"/>
      <c r="J63" s="258"/>
      <c r="K63" s="266" t="s">
        <v>201</v>
      </c>
      <c r="L63" s="266"/>
      <c r="M63" s="266"/>
      <c r="N63" s="266"/>
      <c r="O63" s="266"/>
    </row>
    <row r="64" spans="1:15">
      <c r="A64" s="36"/>
      <c r="B64" s="44" t="s">
        <v>202</v>
      </c>
      <c r="C64" s="36"/>
      <c r="D64" s="35"/>
      <c r="E64" s="39">
        <v>10</v>
      </c>
      <c r="F64" s="39"/>
      <c r="G64" s="56"/>
      <c r="H64" s="270"/>
      <c r="I64" s="270"/>
      <c r="J64" s="270"/>
      <c r="K64" s="266"/>
      <c r="L64" s="266"/>
      <c r="M64" s="266"/>
      <c r="N64" s="266"/>
      <c r="O64" s="266"/>
    </row>
    <row r="65" spans="1:15">
      <c r="A65" s="36"/>
      <c r="B65" s="44" t="s">
        <v>203</v>
      </c>
      <c r="C65" s="36"/>
      <c r="D65" s="35"/>
      <c r="E65" s="39">
        <v>7</v>
      </c>
      <c r="F65" s="39"/>
      <c r="G65" s="55"/>
      <c r="K65" s="280"/>
      <c r="L65" s="280"/>
      <c r="M65" s="280"/>
      <c r="N65" s="280"/>
      <c r="O65" s="280"/>
    </row>
    <row r="66" spans="1:15">
      <c r="A66" s="36"/>
      <c r="B66" s="44" t="s">
        <v>204</v>
      </c>
      <c r="C66" s="36"/>
      <c r="D66" s="35"/>
      <c r="E66" s="39">
        <v>7</v>
      </c>
      <c r="F66" s="39"/>
      <c r="G66" s="56"/>
    </row>
    <row r="67" spans="1:15">
      <c r="A67" s="36"/>
      <c r="B67" s="44" t="s">
        <v>205</v>
      </c>
      <c r="C67" s="36"/>
      <c r="D67" s="35"/>
      <c r="E67" s="39">
        <v>4</v>
      </c>
      <c r="F67" s="39"/>
      <c r="G67" s="56"/>
      <c r="H67" s="245" t="s">
        <v>70</v>
      </c>
      <c r="I67" s="246"/>
      <c r="J67" s="246"/>
      <c r="K67" s="246"/>
      <c r="L67" s="246"/>
      <c r="M67" s="246"/>
      <c r="N67" s="246"/>
      <c r="O67" s="246"/>
    </row>
    <row r="68" spans="1:15">
      <c r="A68" s="36"/>
      <c r="B68" s="44" t="s">
        <v>206</v>
      </c>
      <c r="C68" s="36"/>
      <c r="D68" s="35"/>
      <c r="E68" s="39">
        <v>8</v>
      </c>
      <c r="F68" s="39"/>
      <c r="G68" s="56"/>
      <c r="H68" s="249" t="s">
        <v>207</v>
      </c>
      <c r="I68" s="249"/>
      <c r="J68" s="249"/>
      <c r="K68" s="247" t="s">
        <v>71</v>
      </c>
      <c r="L68" s="248"/>
      <c r="M68" s="248"/>
      <c r="N68" s="248"/>
      <c r="O68" s="248"/>
    </row>
    <row r="69" spans="1:15" ht="15" customHeight="1">
      <c r="A69" s="36"/>
      <c r="B69" s="44" t="s">
        <v>208</v>
      </c>
      <c r="C69" s="36"/>
      <c r="D69" s="35"/>
      <c r="E69" s="39">
        <v>4</v>
      </c>
      <c r="F69" s="39"/>
      <c r="G69" s="56"/>
      <c r="H69" s="269"/>
      <c r="I69" s="269"/>
      <c r="J69" s="269"/>
      <c r="K69" s="253" t="s">
        <v>209</v>
      </c>
      <c r="L69" s="253"/>
      <c r="M69" s="253"/>
      <c r="N69" s="253"/>
      <c r="O69" s="253"/>
    </row>
    <row r="70" spans="1:15">
      <c r="A70" s="36"/>
      <c r="B70" s="44" t="s">
        <v>210</v>
      </c>
      <c r="C70" s="36"/>
      <c r="D70" s="35"/>
      <c r="E70" s="39">
        <v>2</v>
      </c>
      <c r="F70" s="39"/>
      <c r="G70" s="56"/>
      <c r="H70" s="251" t="s">
        <v>72</v>
      </c>
      <c r="I70" s="251"/>
      <c r="J70" s="251"/>
      <c r="K70" s="253"/>
      <c r="L70" s="253"/>
      <c r="M70" s="253"/>
      <c r="N70" s="253"/>
      <c r="O70" s="253"/>
    </row>
    <row r="71" spans="1:15">
      <c r="A71" s="36"/>
      <c r="B71" s="44" t="s">
        <v>211</v>
      </c>
      <c r="C71" s="36"/>
      <c r="D71" s="35"/>
      <c r="E71" s="39">
        <v>1</v>
      </c>
      <c r="F71" s="39"/>
      <c r="G71" s="56"/>
      <c r="H71" s="251"/>
      <c r="I71" s="251"/>
      <c r="J71" s="251"/>
      <c r="K71" s="255" t="s">
        <v>76</v>
      </c>
      <c r="L71" s="256"/>
      <c r="M71" s="256"/>
      <c r="N71" s="256"/>
      <c r="O71" s="256"/>
    </row>
    <row r="72" spans="1:15">
      <c r="A72" s="36"/>
      <c r="B72" s="44" t="s">
        <v>212</v>
      </c>
      <c r="C72" s="36"/>
      <c r="D72" s="35"/>
      <c r="E72" s="39">
        <v>1</v>
      </c>
      <c r="F72" s="48"/>
      <c r="G72" s="56"/>
      <c r="H72" s="252"/>
      <c r="I72" s="252"/>
      <c r="J72" s="252"/>
    </row>
    <row r="73" spans="1:15">
      <c r="A73" s="36"/>
      <c r="B73" s="261" t="s">
        <v>213</v>
      </c>
      <c r="C73" s="262"/>
      <c r="D73" s="262"/>
      <c r="E73" s="40"/>
      <c r="F73" s="39"/>
      <c r="G73" s="56"/>
      <c r="H73" s="252"/>
      <c r="I73" s="252"/>
      <c r="J73" s="252"/>
      <c r="K73" s="190"/>
      <c r="L73" s="190"/>
      <c r="M73" s="190"/>
      <c r="N73" s="190"/>
      <c r="O73" s="190"/>
    </row>
    <row r="74" spans="1:15">
      <c r="A74" s="36"/>
      <c r="B74" s="44" t="s">
        <v>214</v>
      </c>
      <c r="C74" s="36"/>
      <c r="D74" s="35"/>
      <c r="E74" s="39">
        <v>3</v>
      </c>
      <c r="F74" s="39"/>
      <c r="G74" s="56"/>
      <c r="K74" s="190"/>
      <c r="L74" s="190"/>
      <c r="M74" s="190"/>
      <c r="N74" s="190"/>
      <c r="O74" s="190"/>
    </row>
    <row r="75" spans="1:15">
      <c r="A75" s="36"/>
      <c r="B75" s="44" t="s">
        <v>215</v>
      </c>
      <c r="C75" s="36"/>
      <c r="D75" s="35"/>
      <c r="E75" s="39">
        <v>3</v>
      </c>
      <c r="F75" s="39"/>
      <c r="G75" s="59"/>
      <c r="H75" s="257" t="s">
        <v>216</v>
      </c>
      <c r="I75" s="258"/>
      <c r="J75" s="258"/>
      <c r="K75" s="247" t="s">
        <v>78</v>
      </c>
      <c r="L75" s="248"/>
      <c r="M75" s="248"/>
      <c r="N75" s="248"/>
      <c r="O75" s="248"/>
    </row>
    <row r="76" spans="1:15">
      <c r="A76" s="36"/>
      <c r="B76" s="44" t="s">
        <v>217</v>
      </c>
      <c r="C76" s="36"/>
      <c r="D76" s="35"/>
      <c r="E76" s="39">
        <v>2</v>
      </c>
      <c r="F76" s="48"/>
      <c r="G76" s="54"/>
      <c r="H76" s="250"/>
      <c r="I76" s="250"/>
      <c r="J76" s="250"/>
      <c r="K76" s="253" t="s">
        <v>218</v>
      </c>
      <c r="L76" s="253"/>
      <c r="M76" s="253"/>
      <c r="N76" s="253"/>
      <c r="O76" s="253"/>
    </row>
    <row r="77" spans="1:15">
      <c r="A77" s="37"/>
      <c r="B77" s="261" t="s">
        <v>53</v>
      </c>
      <c r="C77" s="262"/>
      <c r="D77" s="262"/>
      <c r="E77" s="40"/>
      <c r="F77" s="39"/>
      <c r="G77" s="55"/>
      <c r="H77" s="251" t="s">
        <v>77</v>
      </c>
      <c r="I77" s="251"/>
      <c r="J77" s="251"/>
      <c r="K77" s="253"/>
      <c r="L77" s="253"/>
      <c r="M77" s="253"/>
      <c r="N77" s="253"/>
      <c r="O77" s="253"/>
    </row>
    <row r="78" spans="1:15" ht="15" customHeight="1">
      <c r="A78" s="36"/>
      <c r="B78" s="44" t="s">
        <v>219</v>
      </c>
      <c r="C78" s="36"/>
      <c r="D78" s="35"/>
      <c r="E78" s="39">
        <v>9</v>
      </c>
      <c r="F78" s="39"/>
      <c r="G78" s="51"/>
      <c r="H78" s="251"/>
      <c r="I78" s="251"/>
      <c r="J78" s="251"/>
      <c r="K78" s="68" t="s">
        <v>82</v>
      </c>
      <c r="L78" s="190"/>
      <c r="M78" s="190"/>
      <c r="N78" s="190"/>
      <c r="O78" s="190"/>
    </row>
    <row r="79" spans="1:15">
      <c r="A79" s="37"/>
      <c r="B79" s="44" t="s">
        <v>220</v>
      </c>
      <c r="C79" s="36"/>
      <c r="D79" s="35"/>
      <c r="E79" s="39">
        <v>9</v>
      </c>
      <c r="F79" s="39"/>
      <c r="G79" s="51"/>
      <c r="H79" s="254"/>
      <c r="I79" s="254"/>
      <c r="J79" s="254"/>
      <c r="L79" s="190"/>
      <c r="M79" s="190"/>
      <c r="N79" s="190"/>
      <c r="O79" s="190"/>
    </row>
    <row r="80" spans="1:15">
      <c r="A80" s="37"/>
      <c r="B80" s="44" t="s">
        <v>221</v>
      </c>
      <c r="C80" s="36"/>
      <c r="D80" s="35"/>
      <c r="E80" s="39">
        <v>10</v>
      </c>
      <c r="F80" s="39"/>
      <c r="G80" s="60"/>
      <c r="H80" s="254"/>
      <c r="I80" s="254"/>
      <c r="J80" s="254"/>
      <c r="K80" s="190"/>
      <c r="L80" s="190"/>
      <c r="M80" s="190"/>
      <c r="N80" s="190"/>
      <c r="O80" s="190"/>
    </row>
    <row r="81" spans="1:15">
      <c r="A81" s="37"/>
      <c r="B81" s="44" t="s">
        <v>222</v>
      </c>
      <c r="C81" s="36"/>
      <c r="D81" s="35"/>
      <c r="E81" s="39">
        <v>9</v>
      </c>
      <c r="F81" s="39"/>
      <c r="G81" s="51"/>
      <c r="H81" s="252"/>
      <c r="I81" s="252"/>
      <c r="J81" s="252"/>
      <c r="K81" s="190"/>
      <c r="L81" s="190"/>
      <c r="M81" s="190"/>
      <c r="N81" s="190"/>
      <c r="O81" s="190"/>
    </row>
    <row r="82" spans="1:15" ht="15" customHeight="1">
      <c r="A82" s="37"/>
      <c r="B82" s="44" t="s">
        <v>223</v>
      </c>
      <c r="C82" s="36"/>
      <c r="D82" s="35"/>
      <c r="E82" s="39">
        <v>8</v>
      </c>
      <c r="F82" s="39"/>
      <c r="G82" s="52"/>
      <c r="K82" s="190"/>
      <c r="L82" s="190"/>
      <c r="M82" s="190"/>
      <c r="N82" s="190"/>
      <c r="O82" s="190"/>
    </row>
    <row r="83" spans="1:15">
      <c r="A83" s="37"/>
      <c r="B83" s="44" t="s">
        <v>224</v>
      </c>
      <c r="C83" s="36"/>
      <c r="D83" s="35"/>
      <c r="E83" s="39">
        <v>9</v>
      </c>
      <c r="F83" s="39"/>
      <c r="G83" s="52"/>
    </row>
    <row r="84" spans="1:15">
      <c r="A84" s="37"/>
      <c r="B84" s="44" t="s">
        <v>225</v>
      </c>
      <c r="C84" s="36"/>
      <c r="D84" s="35"/>
      <c r="E84" s="39">
        <v>10</v>
      </c>
      <c r="F84" s="39"/>
      <c r="G84" s="52"/>
      <c r="H84" s="245" t="s">
        <v>226</v>
      </c>
      <c r="I84" s="246"/>
      <c r="J84" s="246"/>
      <c r="K84" s="246"/>
      <c r="L84" s="246"/>
      <c r="M84" s="246"/>
      <c r="N84" s="246"/>
      <c r="O84" s="246"/>
    </row>
    <row r="85" spans="1:15">
      <c r="A85" s="37"/>
      <c r="B85" s="44" t="s">
        <v>227</v>
      </c>
      <c r="C85" s="36"/>
      <c r="D85" s="35"/>
      <c r="E85" s="39">
        <v>8</v>
      </c>
      <c r="F85" s="39"/>
      <c r="G85" s="52"/>
      <c r="H85" s="257" t="s">
        <v>228</v>
      </c>
      <c r="I85" s="258"/>
      <c r="J85" s="258"/>
      <c r="K85" s="247" t="s">
        <v>127</v>
      </c>
      <c r="L85" s="248"/>
      <c r="M85" s="248"/>
      <c r="N85" s="248"/>
      <c r="O85" s="248"/>
    </row>
    <row r="86" spans="1:15">
      <c r="A86" s="37"/>
      <c r="B86" s="44" t="s">
        <v>229</v>
      </c>
      <c r="C86" s="36"/>
      <c r="D86" s="35"/>
      <c r="E86" s="39">
        <v>8</v>
      </c>
      <c r="F86" s="35"/>
      <c r="G86" s="52"/>
      <c r="H86" s="250"/>
      <c r="I86" s="250"/>
      <c r="J86" s="250"/>
      <c r="K86" s="67" t="s">
        <v>230</v>
      </c>
      <c r="L86" s="64"/>
      <c r="M86" s="64"/>
      <c r="N86" s="64"/>
      <c r="O86" s="64"/>
    </row>
    <row r="87" spans="1:15">
      <c r="A87" s="37"/>
      <c r="B87" s="35"/>
      <c r="C87" s="35"/>
      <c r="D87" s="35"/>
      <c r="E87" s="35"/>
      <c r="F87" s="47"/>
      <c r="G87" s="52"/>
      <c r="H87" s="57"/>
      <c r="I87" s="57"/>
      <c r="J87" s="57"/>
      <c r="K87" s="64"/>
      <c r="L87" s="64"/>
      <c r="M87" s="64"/>
      <c r="N87" s="64"/>
      <c r="O87" s="64"/>
    </row>
    <row r="88" spans="1:15">
      <c r="A88" s="37"/>
      <c r="B88" s="277" t="s">
        <v>83</v>
      </c>
      <c r="C88" s="277"/>
      <c r="D88" s="277"/>
      <c r="E88" s="277"/>
      <c r="F88" s="48"/>
      <c r="G88" s="52"/>
      <c r="K88" s="190"/>
      <c r="L88" s="190"/>
      <c r="M88" s="190"/>
      <c r="N88" s="190"/>
      <c r="O88" s="190"/>
    </row>
    <row r="89" spans="1:15">
      <c r="A89" s="37"/>
      <c r="B89" s="44" t="s">
        <v>231</v>
      </c>
      <c r="C89" s="40"/>
      <c r="D89" s="40"/>
      <c r="E89" s="39">
        <v>10</v>
      </c>
      <c r="F89" s="48"/>
      <c r="G89" s="52"/>
      <c r="H89" s="245" t="s">
        <v>130</v>
      </c>
      <c r="I89" s="246"/>
      <c r="J89" s="246"/>
      <c r="K89" s="246"/>
      <c r="L89" s="246"/>
      <c r="M89" s="246"/>
      <c r="N89" s="246"/>
      <c r="O89" s="246"/>
    </row>
    <row r="90" spans="1:15">
      <c r="A90" s="37"/>
      <c r="B90" s="44" t="s">
        <v>232</v>
      </c>
      <c r="C90" s="40"/>
      <c r="D90" s="40"/>
      <c r="E90" s="39">
        <v>3</v>
      </c>
      <c r="F90" s="48"/>
      <c r="G90" s="52"/>
      <c r="H90" s="273" t="s">
        <v>233</v>
      </c>
      <c r="I90" s="274"/>
      <c r="J90" s="274"/>
      <c r="K90" s="247" t="s">
        <v>131</v>
      </c>
      <c r="L90" s="248"/>
      <c r="M90" s="248"/>
      <c r="N90" s="248"/>
      <c r="O90" s="248"/>
    </row>
    <row r="91" spans="1:15">
      <c r="A91" s="37"/>
      <c r="B91" s="44" t="s">
        <v>234</v>
      </c>
      <c r="C91" s="40"/>
      <c r="D91" s="40"/>
      <c r="E91" s="39">
        <v>8</v>
      </c>
      <c r="F91" s="48"/>
      <c r="G91" s="52"/>
      <c r="H91" s="275"/>
      <c r="I91" s="275"/>
      <c r="J91" s="275"/>
      <c r="K91" s="67" t="s">
        <v>132</v>
      </c>
      <c r="L91" s="190"/>
      <c r="M91" s="190"/>
      <c r="N91" s="190"/>
      <c r="O91" s="190"/>
    </row>
    <row r="92" spans="1:15">
      <c r="A92" s="37"/>
      <c r="B92" s="44"/>
      <c r="C92" s="40"/>
      <c r="D92" s="40"/>
      <c r="E92" s="40"/>
      <c r="F92" s="47"/>
      <c r="G92" s="52"/>
      <c r="H92" s="276"/>
      <c r="I92" s="276"/>
      <c r="J92" s="276"/>
      <c r="K92" s="255" t="s">
        <v>235</v>
      </c>
      <c r="L92" s="256"/>
      <c r="M92" s="256"/>
      <c r="N92" s="256"/>
      <c r="O92" s="256"/>
    </row>
    <row r="93" spans="1:15">
      <c r="A93" s="37"/>
      <c r="B93" s="277" t="s">
        <v>84</v>
      </c>
      <c r="C93" s="277"/>
      <c r="D93" s="277"/>
      <c r="E93" s="277"/>
      <c r="F93" s="36"/>
      <c r="G93" s="52"/>
    </row>
    <row r="94" spans="1:15">
      <c r="A94" s="37"/>
      <c r="B94" s="44" t="s">
        <v>236</v>
      </c>
      <c r="C94" s="36"/>
      <c r="D94" s="36"/>
      <c r="E94" s="36"/>
      <c r="F94" s="36"/>
      <c r="G94" s="52"/>
    </row>
    <row r="95" spans="1:15">
      <c r="A95" s="37"/>
      <c r="B95" s="44" t="s">
        <v>237</v>
      </c>
      <c r="C95" s="36"/>
      <c r="D95" s="36"/>
      <c r="E95" s="36"/>
      <c r="F95" s="36"/>
      <c r="G95" s="52"/>
    </row>
    <row r="96" spans="1:15">
      <c r="A96" s="37"/>
      <c r="B96" s="44" t="s">
        <v>238</v>
      </c>
      <c r="C96" s="36"/>
      <c r="D96" s="36"/>
      <c r="E96" s="36"/>
      <c r="F96" s="36"/>
      <c r="G96" s="52"/>
    </row>
    <row r="97" spans="1:7">
      <c r="A97" s="37"/>
      <c r="B97" s="44"/>
      <c r="C97" s="36"/>
      <c r="D97" s="36"/>
      <c r="E97" s="36"/>
      <c r="F97" s="36"/>
      <c r="G97" s="52"/>
    </row>
    <row r="98" spans="1:7">
      <c r="A98" s="37"/>
      <c r="B98" s="36"/>
      <c r="C98" s="36"/>
      <c r="D98" s="36"/>
      <c r="E98" s="36"/>
      <c r="F98" s="36"/>
      <c r="G98" s="52"/>
    </row>
    <row r="99" spans="1:7">
      <c r="A99" s="37"/>
      <c r="B99" s="36"/>
      <c r="C99" s="36"/>
      <c r="D99" s="36"/>
      <c r="E99" s="36"/>
      <c r="F99" s="36"/>
      <c r="G99" s="52"/>
    </row>
    <row r="100" spans="1:7">
      <c r="A100" s="37"/>
      <c r="B100" s="36"/>
      <c r="C100" s="36"/>
      <c r="D100" s="36"/>
      <c r="E100" s="36"/>
      <c r="F100" s="36"/>
      <c r="G100" s="52"/>
    </row>
    <row r="101" spans="1:7">
      <c r="A101" s="37"/>
      <c r="B101" s="36"/>
      <c r="C101" s="36"/>
      <c r="D101" s="36"/>
      <c r="E101" s="36"/>
      <c r="F101" s="36"/>
      <c r="G101" s="52"/>
    </row>
    <row r="102" spans="1:7">
      <c r="A102" s="37"/>
      <c r="B102" s="36"/>
      <c r="C102" s="36"/>
      <c r="D102" s="36"/>
      <c r="E102" s="36"/>
      <c r="F102" s="36"/>
      <c r="G102" s="52"/>
    </row>
    <row r="103" spans="1:7">
      <c r="A103" s="37"/>
      <c r="B103" s="36"/>
      <c r="C103" s="36"/>
      <c r="D103" s="36"/>
      <c r="E103" s="36"/>
      <c r="F103" s="36"/>
      <c r="G103" s="52"/>
    </row>
    <row r="104" spans="1:7">
      <c r="A104" s="37"/>
      <c r="B104" s="36"/>
      <c r="C104" s="36"/>
      <c r="D104" s="36"/>
      <c r="E104" s="36"/>
      <c r="F104" s="36"/>
      <c r="G104" s="52"/>
    </row>
    <row r="105" spans="1:7">
      <c r="A105" s="37"/>
      <c r="B105" s="36"/>
      <c r="C105" s="36"/>
      <c r="D105" s="36"/>
      <c r="E105" s="36"/>
      <c r="F105" s="36"/>
      <c r="G105" s="52"/>
    </row>
    <row r="106" spans="1:7">
      <c r="A106" s="37"/>
      <c r="B106" s="36"/>
      <c r="C106" s="36"/>
      <c r="D106" s="36"/>
      <c r="E106" s="36"/>
      <c r="F106" s="36"/>
      <c r="G106" s="52"/>
    </row>
    <row r="107" spans="1:7">
      <c r="A107" s="37"/>
      <c r="B107" s="36"/>
      <c r="C107" s="36"/>
      <c r="D107" s="36"/>
      <c r="E107" s="36"/>
      <c r="F107" s="36"/>
      <c r="G107" s="52"/>
    </row>
    <row r="108" spans="1:7">
      <c r="A108" s="37"/>
      <c r="B108" s="36"/>
      <c r="C108" s="36"/>
      <c r="D108" s="36"/>
      <c r="E108" s="36"/>
      <c r="F108" s="36"/>
      <c r="G108" s="52"/>
    </row>
    <row r="109" spans="1:7">
      <c r="A109" s="37"/>
      <c r="B109" s="36"/>
      <c r="C109" s="36"/>
      <c r="D109" s="36"/>
      <c r="E109" s="36"/>
      <c r="F109" s="36"/>
      <c r="G109" s="52"/>
    </row>
    <row r="110" spans="1:7">
      <c r="A110" s="37"/>
      <c r="B110" s="36"/>
      <c r="C110" s="36"/>
      <c r="D110" s="36"/>
      <c r="E110" s="36"/>
      <c r="F110" s="36"/>
      <c r="G110" s="52"/>
    </row>
    <row r="111" spans="1:7">
      <c r="A111" s="37"/>
      <c r="B111" s="36"/>
      <c r="C111" s="36"/>
      <c r="D111" s="36"/>
      <c r="E111" s="36"/>
      <c r="F111" s="36"/>
      <c r="G111" s="52"/>
    </row>
    <row r="112" spans="1:7">
      <c r="A112" s="37"/>
      <c r="B112" s="36"/>
      <c r="C112" s="36"/>
      <c r="D112" s="36"/>
      <c r="E112" s="36"/>
      <c r="F112" s="36"/>
      <c r="G112" s="52"/>
    </row>
    <row r="113" spans="1:11">
      <c r="A113" s="36"/>
      <c r="B113" s="36"/>
      <c r="C113" s="36"/>
      <c r="D113" s="36"/>
      <c r="E113" s="36"/>
      <c r="F113" s="42"/>
      <c r="G113" s="52"/>
    </row>
    <row r="114" spans="1:11">
      <c r="A114" s="36"/>
      <c r="B114" s="36"/>
      <c r="C114" s="36"/>
      <c r="D114" s="36"/>
      <c r="E114" s="42"/>
      <c r="F114" s="36"/>
      <c r="G114" s="52"/>
      <c r="H114" s="272">
        <f ca="1">NOW()</f>
        <v>46069.632974189815</v>
      </c>
      <c r="I114" s="272"/>
      <c r="J114" s="191" t="s">
        <v>136</v>
      </c>
      <c r="K114" s="61"/>
    </row>
    <row r="115" spans="1:11">
      <c r="A115" s="36"/>
      <c r="B115" s="36"/>
      <c r="C115" s="36"/>
      <c r="D115" s="36"/>
      <c r="E115" s="36"/>
      <c r="F115" s="36"/>
      <c r="G115" s="52"/>
    </row>
  </sheetData>
  <mergeCells count="76">
    <mergeCell ref="K75:O75"/>
    <mergeCell ref="H56:J57"/>
    <mergeCell ref="B7:E16"/>
    <mergeCell ref="B30:E30"/>
    <mergeCell ref="B52:E52"/>
    <mergeCell ref="B53:E53"/>
    <mergeCell ref="B54:E54"/>
    <mergeCell ref="K69:O70"/>
    <mergeCell ref="H70:J73"/>
    <mergeCell ref="K68:O68"/>
    <mergeCell ref="H68:J69"/>
    <mergeCell ref="B51:E51"/>
    <mergeCell ref="K14:O17"/>
    <mergeCell ref="K18:O19"/>
    <mergeCell ref="K24:O27"/>
    <mergeCell ref="K41:O42"/>
    <mergeCell ref="K28:O28"/>
    <mergeCell ref="K29:O29"/>
    <mergeCell ref="K30:O33"/>
    <mergeCell ref="K34:O35"/>
    <mergeCell ref="K36:O37"/>
    <mergeCell ref="H62:J64"/>
    <mergeCell ref="H44:J45"/>
    <mergeCell ref="H39:O39"/>
    <mergeCell ref="K63:O65"/>
    <mergeCell ref="K62:O62"/>
    <mergeCell ref="H53:J54"/>
    <mergeCell ref="K56:O56"/>
    <mergeCell ref="H61:O61"/>
    <mergeCell ref="H47:J48"/>
    <mergeCell ref="H50:J51"/>
    <mergeCell ref="B93:E93"/>
    <mergeCell ref="B88:E88"/>
    <mergeCell ref="B61:E61"/>
    <mergeCell ref="B73:D73"/>
    <mergeCell ref="B77:D77"/>
    <mergeCell ref="B62:D62"/>
    <mergeCell ref="H114:I114"/>
    <mergeCell ref="K90:O90"/>
    <mergeCell ref="H89:O89"/>
    <mergeCell ref="H85:J86"/>
    <mergeCell ref="H90:J92"/>
    <mergeCell ref="K85:O85"/>
    <mergeCell ref="K92:O92"/>
    <mergeCell ref="K1:O1"/>
    <mergeCell ref="K59:O59"/>
    <mergeCell ref="H4:J5"/>
    <mergeCell ref="H9:J10"/>
    <mergeCell ref="B31:D31"/>
    <mergeCell ref="B35:D35"/>
    <mergeCell ref="B40:D40"/>
    <mergeCell ref="B43:D43"/>
    <mergeCell ref="B21:E28"/>
    <mergeCell ref="B2:E4"/>
    <mergeCell ref="B5:E6"/>
    <mergeCell ref="K5:O8"/>
    <mergeCell ref="K9:O12"/>
    <mergeCell ref="H40:J42"/>
    <mergeCell ref="H26:J27"/>
    <mergeCell ref="K20:O23"/>
    <mergeCell ref="H84:O84"/>
    <mergeCell ref="H67:O67"/>
    <mergeCell ref="H3:O3"/>
    <mergeCell ref="K4:O4"/>
    <mergeCell ref="K13:O13"/>
    <mergeCell ref="K40:O40"/>
    <mergeCell ref="K44:O44"/>
    <mergeCell ref="K47:O47"/>
    <mergeCell ref="K50:O50"/>
    <mergeCell ref="H13:J15"/>
    <mergeCell ref="H16:J25"/>
    <mergeCell ref="K76:O77"/>
    <mergeCell ref="H77:J81"/>
    <mergeCell ref="K71:O71"/>
    <mergeCell ref="K53:O53"/>
    <mergeCell ref="H75:J76"/>
  </mergeCells>
  <conditionalFormatting sqref="E32:E48 E63:E86 E89:E91">
    <cfRule type="dataBar" priority="25">
      <dataBar showValue="0">
        <cfvo type="num" val="0"/>
        <cfvo type="num" val="10"/>
        <color theme="4" tint="-0.249977111117893"/>
      </dataBar>
      <extLst>
        <ext xmlns:x14="http://schemas.microsoft.com/office/spreadsheetml/2009/9/main" uri="{B025F937-C7B1-47D3-B67F-A62EFF666E3E}">
          <x14:id>{00A1B3AB-88CA-4419-BEA1-D0910661C5F3}</x14:id>
        </ext>
      </extLst>
    </cfRule>
  </conditionalFormatting>
  <hyperlinks>
    <hyperlink ref="B52" r:id="rId1" xr:uid="{5904E5F4-BA54-4749-93E2-C9CDD1627633}"/>
    <hyperlink ref="K71" r:id="rId2" xr:uid="{CA60683D-051D-4F12-AE73-76BC56358A80}"/>
    <hyperlink ref="B53" r:id="rId3" xr:uid="{B47F5DF0-9B11-4B1B-B58D-2DE64966300A}"/>
    <hyperlink ref="B54" r:id="rId4" xr:uid="{B30AF693-5B15-4291-8725-AE1FB7789B7E}"/>
    <hyperlink ref="H26:J27" r:id="rId5" display="http://www.sunbird.lk/" xr:uid="{62FD46D9-C4CB-4EAA-B8D8-BB7C9B7C1A01}"/>
    <hyperlink ref="K92" r:id="rId6" display="jserranopaul@gmail.com " xr:uid="{6DE3D915-D5CD-48FD-9F41-57B85C3A113A}"/>
    <hyperlink ref="K92:N92" r:id="rId7" tooltip="jorge.paul@wbscodingschool.com" display="jorge.paul@wbscodingschool.com" xr:uid="{6A045AD4-B195-4837-A501-CD969A9F9F3D}"/>
  </hyperlinks>
  <printOptions horizontalCentered="1" verticalCentered="1"/>
  <pageMargins left="0" right="0" top="0" bottom="0" header="0" footer="0"/>
  <pageSetup paperSize="9" fitToHeight="0" orientation="portrait" r:id="rId8"/>
  <drawing r:id="rId9"/>
  <extLst>
    <ext xmlns:x14="http://schemas.microsoft.com/office/spreadsheetml/2009/9/main" uri="{78C0D931-6437-407d-A8EE-F0AAD7539E65}">
      <x14:conditionalFormattings>
        <x14:conditionalFormatting xmlns:xm="http://schemas.microsoft.com/office/excel/2006/main">
          <x14:cfRule type="dataBar" id="{00A1B3AB-88CA-4419-BEA1-D0910661C5F3}">
            <x14:dataBar minLength="0" maxLength="100" gradient="0">
              <x14:cfvo type="num">
                <xm:f>0</xm:f>
              </x14:cfvo>
              <x14:cfvo type="num">
                <xm:f>10</xm:f>
              </x14:cfvo>
              <x14:negativeFillColor rgb="FFFF0000"/>
              <x14:axisColor rgb="FF000000"/>
            </x14:dataBar>
          </x14:cfRule>
          <xm:sqref>E32:E48 E63:E86 E89:E91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8FED-4DF9-4675-82C7-D328A84CE083}">
  <dimension ref="A1:T60"/>
  <sheetViews>
    <sheetView workbookViewId="0">
      <selection activeCell="K45" sqref="K45:O45"/>
    </sheetView>
  </sheetViews>
  <sheetFormatPr defaultRowHeight="15"/>
  <cols>
    <col min="1" max="1" width="2.28515625" customWidth="1"/>
    <col min="4" max="4" width="5.28515625" customWidth="1"/>
    <col min="5" max="5" width="12.85546875" customWidth="1"/>
    <col min="6" max="7" width="0.85546875" customWidth="1"/>
    <col min="8" max="8" width="9.28515625" customWidth="1"/>
    <col min="9" max="9" width="6.5703125" customWidth="1"/>
    <col min="10" max="14" width="7.7109375" customWidth="1"/>
    <col min="15" max="15" width="8.85546875" customWidth="1"/>
  </cols>
  <sheetData>
    <row r="1" spans="1:15" ht="12" customHeight="1">
      <c r="A1" s="34"/>
      <c r="B1" s="299" t="s">
        <v>137</v>
      </c>
      <c r="C1" s="299"/>
      <c r="D1" s="299"/>
      <c r="E1" s="299"/>
      <c r="F1" s="35"/>
      <c r="G1" s="35"/>
      <c r="H1" s="35"/>
      <c r="I1" s="35"/>
      <c r="J1" s="35"/>
      <c r="K1" s="259"/>
      <c r="L1" s="260"/>
      <c r="M1" s="260"/>
      <c r="N1" s="260"/>
      <c r="O1" s="260"/>
    </row>
    <row r="2" spans="1:15" ht="6" customHeight="1">
      <c r="A2" s="36"/>
      <c r="B2" s="299"/>
      <c r="C2" s="299"/>
      <c r="D2" s="299"/>
      <c r="E2" s="299"/>
      <c r="F2" s="36"/>
      <c r="G2" s="49"/>
      <c r="H2" s="50"/>
      <c r="I2" s="50"/>
      <c r="J2" s="50"/>
      <c r="K2" s="50"/>
      <c r="L2" s="50"/>
      <c r="M2" s="50"/>
      <c r="N2" s="50"/>
      <c r="O2" s="50"/>
    </row>
    <row r="3" spans="1:15">
      <c r="A3" s="36"/>
      <c r="B3" s="299"/>
      <c r="C3" s="299"/>
      <c r="D3" s="299"/>
      <c r="E3" s="299"/>
      <c r="F3" s="36"/>
      <c r="G3" s="51"/>
      <c r="H3" s="258" t="s">
        <v>139</v>
      </c>
      <c r="I3" s="258"/>
      <c r="J3" s="258"/>
      <c r="K3" s="286" t="s">
        <v>239</v>
      </c>
      <c r="L3" s="286"/>
      <c r="M3" s="286"/>
      <c r="N3" s="286"/>
      <c r="O3" s="286"/>
    </row>
    <row r="4" spans="1:15">
      <c r="A4" s="36"/>
      <c r="B4" s="265" t="s">
        <v>1</v>
      </c>
      <c r="C4" s="265"/>
      <c r="D4" s="265"/>
      <c r="E4" s="265"/>
      <c r="F4" s="36"/>
      <c r="G4" s="51"/>
      <c r="H4" s="258"/>
      <c r="I4" s="258"/>
      <c r="J4" s="258"/>
      <c r="K4" s="266" t="s">
        <v>240</v>
      </c>
      <c r="L4" s="266"/>
      <c r="M4" s="266"/>
      <c r="N4" s="266"/>
      <c r="O4" s="266"/>
    </row>
    <row r="5" spans="1:15">
      <c r="A5" s="36"/>
      <c r="B5" s="265"/>
      <c r="C5" s="265"/>
      <c r="D5" s="265"/>
      <c r="E5" s="265"/>
      <c r="F5" s="36"/>
      <c r="G5" s="51"/>
      <c r="H5" s="251"/>
      <c r="I5" s="251"/>
      <c r="J5" s="251"/>
      <c r="K5" s="266"/>
      <c r="L5" s="266"/>
      <c r="M5" s="266"/>
      <c r="N5" s="266"/>
      <c r="O5" s="266"/>
    </row>
    <row r="6" spans="1:15">
      <c r="A6" s="36"/>
      <c r="B6" s="296" t="s">
        <v>241</v>
      </c>
      <c r="C6" s="297"/>
      <c r="D6" s="297"/>
      <c r="E6" s="297"/>
      <c r="F6" s="36"/>
      <c r="G6" s="51"/>
      <c r="H6" s="251"/>
      <c r="I6" s="251"/>
      <c r="J6" s="251"/>
      <c r="K6" s="266"/>
      <c r="L6" s="266"/>
      <c r="M6" s="266"/>
      <c r="N6" s="266"/>
      <c r="O6" s="266"/>
    </row>
    <row r="7" spans="1:15" ht="8.1" customHeight="1">
      <c r="A7" s="36"/>
      <c r="B7" s="297"/>
      <c r="C7" s="297"/>
      <c r="D7" s="297"/>
      <c r="E7" s="297"/>
      <c r="F7" s="36"/>
      <c r="G7" s="51"/>
      <c r="H7" s="251"/>
      <c r="I7" s="251"/>
      <c r="J7" s="251"/>
      <c r="K7" s="268"/>
      <c r="L7" s="268"/>
      <c r="M7" s="268"/>
      <c r="N7" s="268"/>
      <c r="O7" s="268"/>
    </row>
    <row r="8" spans="1:15">
      <c r="A8" s="36"/>
      <c r="B8" s="297"/>
      <c r="C8" s="297"/>
      <c r="D8" s="297"/>
      <c r="E8" s="297"/>
      <c r="F8" s="36"/>
      <c r="G8" s="51"/>
      <c r="H8" s="197"/>
      <c r="I8" s="197"/>
      <c r="J8" s="197"/>
      <c r="K8" s="194"/>
      <c r="L8" s="194"/>
      <c r="M8" s="194"/>
      <c r="N8" s="194"/>
      <c r="O8" s="194"/>
    </row>
    <row r="9" spans="1:15">
      <c r="A9" s="36"/>
      <c r="B9" s="297"/>
      <c r="C9" s="297"/>
      <c r="D9" s="297"/>
      <c r="E9" s="297"/>
      <c r="F9" s="36"/>
      <c r="G9" s="51"/>
      <c r="H9" s="249" t="s">
        <v>142</v>
      </c>
      <c r="I9" s="250"/>
      <c r="J9" s="250"/>
      <c r="K9" s="266" t="s">
        <v>242</v>
      </c>
      <c r="L9" s="268"/>
      <c r="M9" s="268"/>
      <c r="N9" s="268"/>
      <c r="O9" s="268"/>
    </row>
    <row r="10" spans="1:15">
      <c r="A10" s="36"/>
      <c r="B10" s="297"/>
      <c r="C10" s="297"/>
      <c r="D10" s="297"/>
      <c r="E10" s="297"/>
      <c r="F10" s="36"/>
      <c r="G10" s="51"/>
      <c r="H10" s="250"/>
      <c r="I10" s="250"/>
      <c r="J10" s="250"/>
      <c r="K10" s="268"/>
      <c r="L10" s="268"/>
      <c r="M10" s="268"/>
      <c r="N10" s="268"/>
      <c r="O10" s="268"/>
    </row>
    <row r="11" spans="1:15">
      <c r="A11" s="36"/>
      <c r="B11" s="297"/>
      <c r="C11" s="297"/>
      <c r="D11" s="297"/>
      <c r="E11" s="297"/>
      <c r="F11" s="36"/>
      <c r="G11" s="51"/>
    </row>
    <row r="12" spans="1:15">
      <c r="A12" s="36"/>
      <c r="B12" s="297"/>
      <c r="C12" s="297"/>
      <c r="D12" s="297"/>
      <c r="E12" s="297"/>
      <c r="F12" s="36"/>
      <c r="G12" s="51"/>
      <c r="H12" s="249" t="s">
        <v>144</v>
      </c>
      <c r="I12" s="249"/>
      <c r="J12" s="249"/>
      <c r="K12" s="286" t="s">
        <v>145</v>
      </c>
      <c r="L12" s="287"/>
      <c r="M12" s="287"/>
      <c r="N12" s="287"/>
      <c r="O12" s="287"/>
    </row>
    <row r="13" spans="1:15">
      <c r="A13" s="36"/>
      <c r="B13" s="297"/>
      <c r="C13" s="297"/>
      <c r="D13" s="297"/>
      <c r="E13" s="297"/>
      <c r="F13" s="36"/>
      <c r="G13" s="52"/>
      <c r="H13" s="249"/>
      <c r="I13" s="249"/>
      <c r="J13" s="249"/>
      <c r="K13" s="290" t="s">
        <v>243</v>
      </c>
      <c r="L13" s="290"/>
      <c r="M13" s="290"/>
      <c r="N13" s="290"/>
      <c r="O13" s="290"/>
    </row>
    <row r="14" spans="1:15">
      <c r="A14" s="36"/>
      <c r="B14" s="261" t="s">
        <v>244</v>
      </c>
      <c r="C14" s="262"/>
      <c r="D14" s="262"/>
      <c r="E14" s="40"/>
      <c r="F14" s="46"/>
      <c r="G14" s="51"/>
      <c r="H14" s="250"/>
      <c r="I14" s="250"/>
      <c r="J14" s="250"/>
      <c r="K14" s="290"/>
      <c r="L14" s="290"/>
      <c r="M14" s="290"/>
      <c r="N14" s="290"/>
      <c r="O14" s="290"/>
    </row>
    <row r="15" spans="1:15" ht="15" customHeight="1">
      <c r="A15" s="36"/>
      <c r="B15" s="298" t="s">
        <v>245</v>
      </c>
      <c r="C15" s="298"/>
      <c r="D15" s="298"/>
      <c r="E15" s="298"/>
      <c r="F15" s="46"/>
      <c r="G15" s="51"/>
      <c r="H15" s="251" t="s">
        <v>246</v>
      </c>
      <c r="I15" s="251"/>
      <c r="J15" s="251"/>
      <c r="K15" s="290"/>
      <c r="L15" s="290"/>
      <c r="M15" s="290"/>
      <c r="N15" s="290"/>
      <c r="O15" s="290"/>
    </row>
    <row r="16" spans="1:15">
      <c r="A16" s="36"/>
      <c r="B16" s="298"/>
      <c r="C16" s="298"/>
      <c r="D16" s="298"/>
      <c r="E16" s="298"/>
      <c r="F16" s="36"/>
      <c r="G16" s="51"/>
      <c r="H16" s="251"/>
      <c r="I16" s="251"/>
      <c r="J16" s="251"/>
      <c r="K16" s="290"/>
      <c r="L16" s="290"/>
      <c r="M16" s="290"/>
      <c r="N16" s="290"/>
      <c r="O16" s="290"/>
    </row>
    <row r="17" spans="1:15">
      <c r="A17" s="36"/>
      <c r="B17" s="298"/>
      <c r="C17" s="298"/>
      <c r="D17" s="298"/>
      <c r="E17" s="298"/>
      <c r="F17" s="36"/>
      <c r="G17" s="51"/>
      <c r="H17" s="252"/>
      <c r="I17" s="252"/>
      <c r="J17" s="252"/>
      <c r="K17" s="266" t="s">
        <v>150</v>
      </c>
      <c r="L17" s="266"/>
      <c r="M17" s="266"/>
      <c r="N17" s="266"/>
      <c r="O17" s="266"/>
    </row>
    <row r="18" spans="1:15">
      <c r="A18" s="36"/>
      <c r="B18" s="298"/>
      <c r="C18" s="298"/>
      <c r="D18" s="298"/>
      <c r="E18" s="298"/>
      <c r="F18" s="36"/>
      <c r="G18" s="53"/>
      <c r="H18" s="293" t="s">
        <v>156</v>
      </c>
      <c r="I18" s="293"/>
      <c r="J18" s="293"/>
      <c r="K18" s="266"/>
      <c r="L18" s="266"/>
      <c r="M18" s="266"/>
      <c r="N18" s="266"/>
      <c r="O18" s="266"/>
    </row>
    <row r="19" spans="1:15">
      <c r="A19" s="36"/>
      <c r="B19" s="298"/>
      <c r="C19" s="298"/>
      <c r="D19" s="298"/>
      <c r="E19" s="298"/>
      <c r="F19" s="36"/>
      <c r="G19" s="53"/>
      <c r="H19" s="251"/>
      <c r="I19" s="251"/>
      <c r="J19" s="251"/>
      <c r="K19" s="266" t="s">
        <v>153</v>
      </c>
      <c r="L19" s="266"/>
      <c r="M19" s="266"/>
      <c r="N19" s="266"/>
      <c r="O19" s="266"/>
    </row>
    <row r="20" spans="1:15">
      <c r="A20" s="36"/>
      <c r="B20" s="277" t="s">
        <v>12</v>
      </c>
      <c r="C20" s="277"/>
      <c r="D20" s="277"/>
      <c r="E20" s="277"/>
      <c r="F20" s="36"/>
      <c r="G20" s="53"/>
      <c r="H20" s="251"/>
      <c r="I20" s="251"/>
      <c r="J20" s="251"/>
      <c r="K20" s="266"/>
      <c r="L20" s="266"/>
      <c r="M20" s="266"/>
      <c r="N20" s="266"/>
      <c r="O20" s="266"/>
    </row>
    <row r="21" spans="1:15">
      <c r="A21" s="36"/>
      <c r="B21" s="261" t="s">
        <v>14</v>
      </c>
      <c r="C21" s="262"/>
      <c r="D21" s="262"/>
      <c r="E21" s="40"/>
      <c r="F21" s="38"/>
      <c r="G21" s="53"/>
      <c r="H21" s="251"/>
      <c r="I21" s="251"/>
      <c r="J21" s="251"/>
      <c r="K21" s="266"/>
      <c r="L21" s="266"/>
      <c r="M21" s="266"/>
      <c r="N21" s="266"/>
      <c r="O21" s="266"/>
    </row>
    <row r="22" spans="1:15">
      <c r="A22" s="36"/>
      <c r="B22" s="44" t="s">
        <v>160</v>
      </c>
      <c r="C22" s="36"/>
      <c r="D22" s="36"/>
      <c r="E22" s="45">
        <v>7</v>
      </c>
      <c r="F22" s="38"/>
      <c r="G22" s="53"/>
      <c r="H22" s="251"/>
      <c r="I22" s="251"/>
      <c r="J22" s="251"/>
      <c r="K22" s="266"/>
      <c r="L22" s="266"/>
      <c r="M22" s="266"/>
      <c r="N22" s="266"/>
      <c r="O22" s="266"/>
    </row>
    <row r="23" spans="1:15">
      <c r="A23" s="36"/>
      <c r="B23" s="44" t="s">
        <v>161</v>
      </c>
      <c r="C23" s="36"/>
      <c r="D23" s="36"/>
      <c r="E23" s="39">
        <v>7</v>
      </c>
      <c r="F23" s="38"/>
      <c r="G23" s="53"/>
      <c r="H23" s="251"/>
      <c r="I23" s="251"/>
      <c r="J23" s="251"/>
      <c r="K23" s="266" t="s">
        <v>155</v>
      </c>
      <c r="L23" s="266"/>
      <c r="M23" s="266"/>
      <c r="N23" s="266"/>
      <c r="O23" s="266"/>
    </row>
    <row r="24" spans="1:15">
      <c r="A24" s="36"/>
      <c r="B24" s="44" t="s">
        <v>162</v>
      </c>
      <c r="C24" s="36"/>
      <c r="D24" s="36"/>
      <c r="E24" s="39">
        <v>1</v>
      </c>
      <c r="F24" s="38"/>
      <c r="G24" s="53"/>
      <c r="H24" s="251"/>
      <c r="I24" s="251"/>
      <c r="J24" s="251"/>
      <c r="K24" s="266"/>
      <c r="L24" s="266"/>
      <c r="M24" s="266"/>
      <c r="N24" s="266"/>
      <c r="O24" s="266"/>
    </row>
    <row r="25" spans="1:15">
      <c r="A25" s="36"/>
      <c r="B25" s="261" t="s">
        <v>26</v>
      </c>
      <c r="C25" s="262"/>
      <c r="D25" s="262"/>
      <c r="E25" s="40"/>
      <c r="F25" s="38"/>
      <c r="G25" s="53"/>
      <c r="H25" s="251"/>
      <c r="I25" s="251"/>
      <c r="J25" s="251"/>
      <c r="K25" s="266"/>
      <c r="L25" s="266"/>
      <c r="M25" s="266"/>
      <c r="N25" s="266"/>
      <c r="O25" s="266"/>
    </row>
    <row r="26" spans="1:15">
      <c r="A26" s="36"/>
      <c r="B26" s="44" t="s">
        <v>164</v>
      </c>
      <c r="C26" s="36"/>
      <c r="D26" s="36"/>
      <c r="E26" s="39">
        <v>7</v>
      </c>
      <c r="F26" s="38"/>
      <c r="G26" s="54"/>
      <c r="H26" s="251"/>
      <c r="I26" s="251"/>
      <c r="J26" s="251"/>
      <c r="K26" s="266"/>
      <c r="L26" s="266"/>
      <c r="M26" s="266"/>
      <c r="N26" s="266"/>
      <c r="O26" s="266"/>
    </row>
    <row r="27" spans="1:15">
      <c r="A27" s="36"/>
      <c r="B27" s="44" t="s">
        <v>166</v>
      </c>
      <c r="C27" s="36"/>
      <c r="D27" s="36"/>
      <c r="E27" s="39">
        <v>6</v>
      </c>
      <c r="F27" s="38"/>
      <c r="G27" s="55"/>
      <c r="H27" s="251"/>
      <c r="I27" s="251"/>
      <c r="J27" s="251"/>
      <c r="K27" s="266" t="s">
        <v>157</v>
      </c>
      <c r="L27" s="266"/>
      <c r="M27" s="266"/>
      <c r="N27" s="266"/>
      <c r="O27" s="266"/>
    </row>
    <row r="28" spans="1:15">
      <c r="A28" s="36"/>
      <c r="B28" s="44" t="s">
        <v>167</v>
      </c>
      <c r="C28" s="36"/>
      <c r="D28" s="36"/>
      <c r="E28" s="39">
        <v>3</v>
      </c>
      <c r="F28" s="38"/>
      <c r="G28" s="56"/>
      <c r="H28" s="251"/>
      <c r="I28" s="251"/>
      <c r="J28" s="251"/>
      <c r="K28" s="266" t="s">
        <v>158</v>
      </c>
      <c r="L28" s="266"/>
      <c r="M28" s="266"/>
      <c r="N28" s="266"/>
      <c r="O28" s="266"/>
    </row>
    <row r="29" spans="1:15">
      <c r="A29" s="36"/>
      <c r="B29" s="44" t="s">
        <v>168</v>
      </c>
      <c r="C29" s="36"/>
      <c r="D29" s="36"/>
      <c r="E29" s="39">
        <v>1</v>
      </c>
      <c r="F29" s="47"/>
      <c r="G29" s="56"/>
    </row>
    <row r="30" spans="1:15">
      <c r="A30" s="36"/>
      <c r="B30" s="261" t="s">
        <v>42</v>
      </c>
      <c r="C30" s="262"/>
      <c r="D30" s="262"/>
      <c r="E30" s="40"/>
      <c r="F30" s="47"/>
      <c r="G30" s="56"/>
      <c r="H30" s="269" t="s">
        <v>247</v>
      </c>
      <c r="I30" s="269"/>
      <c r="J30" s="269"/>
      <c r="K30" s="266" t="s">
        <v>248</v>
      </c>
      <c r="L30" s="266"/>
      <c r="M30" s="266"/>
      <c r="N30" s="266"/>
      <c r="O30" s="266"/>
    </row>
    <row r="31" spans="1:15" ht="15" customHeight="1">
      <c r="A31" s="36"/>
      <c r="B31" s="44" t="s">
        <v>171</v>
      </c>
      <c r="C31" s="36"/>
      <c r="D31" s="36"/>
      <c r="E31" s="39">
        <v>6</v>
      </c>
      <c r="F31" s="48"/>
      <c r="G31" s="56"/>
      <c r="H31" s="269"/>
      <c r="I31" s="269"/>
      <c r="J31" s="269"/>
      <c r="K31" s="266" t="s">
        <v>249</v>
      </c>
      <c r="L31" s="266"/>
      <c r="M31" s="266"/>
      <c r="N31" s="266"/>
      <c r="O31" s="266"/>
    </row>
    <row r="32" spans="1:15" ht="15" customHeight="1">
      <c r="A32" s="36"/>
      <c r="B32" s="44" t="s">
        <v>173</v>
      </c>
      <c r="C32" s="36"/>
      <c r="D32" s="36"/>
      <c r="E32" s="39">
        <v>2</v>
      </c>
      <c r="F32" s="39"/>
      <c r="G32" s="55"/>
      <c r="H32" s="270"/>
      <c r="I32" s="270"/>
      <c r="J32" s="270"/>
      <c r="K32" s="266" t="s">
        <v>250</v>
      </c>
      <c r="L32" s="266"/>
      <c r="M32" s="266"/>
      <c r="N32" s="266"/>
      <c r="O32" s="266"/>
    </row>
    <row r="33" spans="1:20" ht="15" customHeight="1">
      <c r="A33" s="36"/>
      <c r="B33" s="261" t="s">
        <v>174</v>
      </c>
      <c r="C33" s="262"/>
      <c r="D33" s="262"/>
      <c r="E33" s="40"/>
      <c r="F33" s="39"/>
      <c r="G33" s="56"/>
      <c r="H33" s="251"/>
      <c r="I33" s="251"/>
      <c r="J33" s="251"/>
      <c r="K33" s="266" t="s">
        <v>251</v>
      </c>
      <c r="L33" s="266"/>
      <c r="M33" s="266"/>
      <c r="N33" s="266"/>
      <c r="O33" s="266"/>
    </row>
    <row r="34" spans="1:20" ht="15" customHeight="1">
      <c r="A34" s="36"/>
      <c r="B34" s="44" t="s">
        <v>175</v>
      </c>
      <c r="C34" s="36"/>
      <c r="D34" s="36"/>
      <c r="E34" s="39">
        <v>7</v>
      </c>
      <c r="F34" s="48"/>
      <c r="G34" s="56"/>
      <c r="H34" s="251"/>
      <c r="I34" s="251"/>
      <c r="J34" s="251"/>
      <c r="K34" s="266" t="s">
        <v>252</v>
      </c>
      <c r="L34" s="266"/>
      <c r="M34" s="266"/>
      <c r="N34" s="266"/>
      <c r="O34" s="266"/>
    </row>
    <row r="35" spans="1:20" ht="15" customHeight="1">
      <c r="A35" s="36"/>
      <c r="B35" s="44" t="s">
        <v>253</v>
      </c>
      <c r="C35" s="36"/>
      <c r="D35" s="36"/>
      <c r="E35" s="39">
        <v>5</v>
      </c>
      <c r="F35" s="39"/>
      <c r="G35" s="56"/>
      <c r="H35" s="251"/>
      <c r="I35" s="251"/>
      <c r="J35" s="251"/>
      <c r="K35" s="266" t="s">
        <v>254</v>
      </c>
      <c r="L35" s="266"/>
      <c r="M35" s="266"/>
      <c r="N35" s="266"/>
      <c r="O35" s="266"/>
    </row>
    <row r="36" spans="1:20" ht="15" customHeight="1">
      <c r="A36" s="36"/>
      <c r="B36" s="44" t="s">
        <v>180</v>
      </c>
      <c r="C36" s="36"/>
      <c r="D36" s="36"/>
      <c r="E36" s="39">
        <v>3</v>
      </c>
      <c r="F36" s="39"/>
      <c r="G36" s="56"/>
      <c r="H36" s="251"/>
      <c r="I36" s="251"/>
      <c r="J36" s="251"/>
      <c r="K36" s="266" t="s">
        <v>255</v>
      </c>
      <c r="L36" s="266"/>
      <c r="M36" s="266"/>
      <c r="N36" s="266"/>
      <c r="O36" s="266"/>
    </row>
    <row r="37" spans="1:20" ht="15" customHeight="1">
      <c r="A37" s="36"/>
      <c r="B37" s="44" t="s">
        <v>183</v>
      </c>
      <c r="C37" s="36"/>
      <c r="D37" s="36"/>
      <c r="E37" s="39">
        <v>8</v>
      </c>
      <c r="F37" s="39"/>
      <c r="G37" s="55"/>
    </row>
    <row r="38" spans="1:20">
      <c r="A38" s="36"/>
      <c r="B38" s="44" t="s">
        <v>208</v>
      </c>
      <c r="C38" s="36"/>
      <c r="D38" s="35"/>
      <c r="E38" s="39">
        <v>3</v>
      </c>
      <c r="F38" s="39"/>
      <c r="G38" s="56"/>
      <c r="H38" s="291" t="s">
        <v>70</v>
      </c>
      <c r="I38" s="292"/>
      <c r="J38" s="292"/>
      <c r="K38" s="292"/>
      <c r="L38" s="292"/>
      <c r="M38" s="292"/>
      <c r="N38" s="292"/>
      <c r="O38" s="292"/>
    </row>
    <row r="39" spans="1:20">
      <c r="A39" s="36"/>
      <c r="B39" s="44" t="s">
        <v>210</v>
      </c>
      <c r="C39" s="36"/>
      <c r="D39" s="35"/>
      <c r="E39" s="39">
        <v>1</v>
      </c>
      <c r="F39" s="48"/>
      <c r="G39" s="56"/>
      <c r="H39" s="249" t="s">
        <v>207</v>
      </c>
      <c r="I39" s="249"/>
      <c r="J39" s="249"/>
      <c r="K39" s="286" t="s">
        <v>71</v>
      </c>
      <c r="L39" s="287"/>
      <c r="M39" s="287"/>
      <c r="N39" s="287"/>
      <c r="O39" s="287"/>
    </row>
    <row r="40" spans="1:20">
      <c r="A40" s="36"/>
      <c r="B40" s="44" t="s">
        <v>211</v>
      </c>
      <c r="C40" s="36"/>
      <c r="D40" s="35"/>
      <c r="E40" s="39">
        <v>1</v>
      </c>
      <c r="F40" s="48"/>
      <c r="G40" s="55"/>
      <c r="H40" s="269"/>
      <c r="I40" s="269"/>
      <c r="J40" s="269"/>
      <c r="K40" s="290" t="s">
        <v>256</v>
      </c>
      <c r="L40" s="290"/>
      <c r="M40" s="290"/>
      <c r="N40" s="290"/>
      <c r="O40" s="290"/>
    </row>
    <row r="41" spans="1:20">
      <c r="A41" s="36"/>
      <c r="B41" s="44" t="s">
        <v>212</v>
      </c>
      <c r="C41" s="36"/>
      <c r="D41" s="35"/>
      <c r="E41" s="39">
        <v>1</v>
      </c>
      <c r="F41" s="39"/>
      <c r="G41" s="56"/>
      <c r="H41" s="251" t="s">
        <v>257</v>
      </c>
      <c r="I41" s="251"/>
      <c r="J41" s="251"/>
      <c r="K41" s="290"/>
      <c r="L41" s="290"/>
      <c r="M41" s="290"/>
      <c r="N41" s="290"/>
      <c r="O41" s="290"/>
    </row>
    <row r="42" spans="1:20">
      <c r="A42" s="36"/>
      <c r="B42" s="277" t="s">
        <v>258</v>
      </c>
      <c r="C42" s="277"/>
      <c r="D42" s="277"/>
      <c r="E42" s="277"/>
      <c r="F42" s="39"/>
      <c r="G42" s="55"/>
      <c r="H42" s="252"/>
      <c r="I42" s="252"/>
      <c r="J42" s="252"/>
      <c r="K42" s="290"/>
      <c r="L42" s="290"/>
      <c r="M42" s="290"/>
      <c r="N42" s="290"/>
      <c r="O42" s="290"/>
    </row>
    <row r="43" spans="1:20">
      <c r="A43" s="36"/>
      <c r="B43" s="44" t="s">
        <v>219</v>
      </c>
      <c r="C43" s="36"/>
      <c r="D43" s="35"/>
      <c r="E43" s="39">
        <v>9</v>
      </c>
      <c r="F43" s="48"/>
      <c r="G43" s="56"/>
      <c r="H43" s="252"/>
      <c r="I43" s="252"/>
      <c r="J43" s="252"/>
      <c r="K43" s="255" t="s">
        <v>76</v>
      </c>
      <c r="L43" s="256"/>
      <c r="M43" s="256"/>
      <c r="N43" s="256"/>
      <c r="O43" s="256"/>
      <c r="Q43" s="44" t="s">
        <v>221</v>
      </c>
      <c r="R43" s="36"/>
      <c r="S43" s="35"/>
      <c r="T43" s="39">
        <v>10</v>
      </c>
    </row>
    <row r="44" spans="1:20">
      <c r="A44" s="36"/>
      <c r="B44" s="44" t="s">
        <v>220</v>
      </c>
      <c r="C44" s="36"/>
      <c r="D44" s="35"/>
      <c r="E44" s="39">
        <v>9</v>
      </c>
      <c r="F44" s="39"/>
      <c r="G44" s="55"/>
      <c r="Q44" s="44" t="s">
        <v>223</v>
      </c>
      <c r="R44" s="36"/>
      <c r="S44" s="35"/>
      <c r="T44" s="39">
        <v>8</v>
      </c>
    </row>
    <row r="45" spans="1:20">
      <c r="A45" s="36"/>
      <c r="B45" s="44" t="s">
        <v>227</v>
      </c>
      <c r="C45" s="36"/>
      <c r="D45" s="35"/>
      <c r="E45" s="39">
        <v>8</v>
      </c>
      <c r="F45" s="39"/>
      <c r="G45" s="56"/>
      <c r="H45" s="257" t="s">
        <v>216</v>
      </c>
      <c r="I45" s="258"/>
      <c r="J45" s="258"/>
      <c r="K45" s="286" t="s">
        <v>78</v>
      </c>
      <c r="L45" s="287"/>
      <c r="M45" s="287"/>
      <c r="N45" s="287"/>
      <c r="O45" s="287"/>
      <c r="Q45" s="44" t="s">
        <v>225</v>
      </c>
      <c r="R45" s="36"/>
      <c r="S45" s="35"/>
      <c r="T45" s="39">
        <v>10</v>
      </c>
    </row>
    <row r="46" spans="1:20">
      <c r="A46" s="36"/>
      <c r="B46" s="44" t="s">
        <v>224</v>
      </c>
      <c r="C46" s="36"/>
      <c r="D46" s="35"/>
      <c r="E46" s="39">
        <v>9</v>
      </c>
      <c r="F46" s="39"/>
      <c r="G46" s="55"/>
      <c r="H46" s="250"/>
      <c r="I46" s="250"/>
      <c r="J46" s="250"/>
      <c r="K46" s="290" t="s">
        <v>259</v>
      </c>
      <c r="L46" s="290"/>
      <c r="M46" s="290"/>
      <c r="N46" s="290"/>
      <c r="O46" s="290"/>
      <c r="Q46" s="44" t="s">
        <v>229</v>
      </c>
      <c r="R46" s="36"/>
      <c r="S46" s="35"/>
      <c r="T46" s="39">
        <v>8</v>
      </c>
    </row>
    <row r="47" spans="1:20">
      <c r="A47" s="36"/>
      <c r="B47" s="44" t="s">
        <v>222</v>
      </c>
      <c r="C47" s="36"/>
      <c r="D47" s="35"/>
      <c r="E47" s="39">
        <v>10</v>
      </c>
      <c r="F47" s="39"/>
      <c r="G47" s="52"/>
      <c r="H47" s="251" t="s">
        <v>260</v>
      </c>
      <c r="I47" s="251"/>
      <c r="J47" s="251"/>
      <c r="K47" s="290"/>
      <c r="L47" s="290"/>
      <c r="M47" s="290"/>
      <c r="N47" s="290"/>
      <c r="O47" s="290"/>
    </row>
    <row r="48" spans="1:20">
      <c r="A48" s="37"/>
      <c r="B48" s="277" t="s">
        <v>83</v>
      </c>
      <c r="C48" s="277"/>
      <c r="D48" s="277"/>
      <c r="E48" s="277"/>
      <c r="F48" s="39"/>
      <c r="G48" s="52"/>
      <c r="H48" s="251"/>
      <c r="I48" s="251"/>
      <c r="J48" s="251"/>
      <c r="K48" s="290"/>
      <c r="L48" s="290"/>
      <c r="M48" s="290"/>
      <c r="N48" s="290"/>
      <c r="O48" s="290"/>
    </row>
    <row r="49" spans="1:15">
      <c r="A49" s="37"/>
      <c r="B49" s="44" t="s">
        <v>231</v>
      </c>
      <c r="C49" s="40"/>
      <c r="D49" s="40"/>
      <c r="E49" s="39">
        <v>10</v>
      </c>
      <c r="F49" s="48"/>
      <c r="G49" s="52"/>
      <c r="H49" s="254"/>
      <c r="I49" s="254"/>
      <c r="J49" s="254"/>
      <c r="K49" s="290"/>
      <c r="L49" s="290"/>
      <c r="M49" s="290"/>
      <c r="N49" s="290"/>
      <c r="O49" s="290"/>
    </row>
    <row r="50" spans="1:15">
      <c r="A50" s="37"/>
      <c r="B50" s="44" t="s">
        <v>232</v>
      </c>
      <c r="C50" s="40"/>
      <c r="D50" s="40"/>
      <c r="E50" s="39">
        <v>3</v>
      </c>
      <c r="F50" s="48"/>
      <c r="G50" s="52"/>
    </row>
    <row r="51" spans="1:15">
      <c r="A51" s="37"/>
      <c r="B51" s="261"/>
      <c r="C51" s="262"/>
      <c r="D51" s="262"/>
      <c r="E51" s="40"/>
      <c r="F51" s="48"/>
      <c r="G51" s="52"/>
      <c r="H51" s="291" t="s">
        <v>226</v>
      </c>
      <c r="I51" s="292"/>
      <c r="J51" s="292"/>
      <c r="K51" s="292"/>
      <c r="L51" s="292"/>
      <c r="M51" s="292"/>
      <c r="N51" s="292"/>
      <c r="O51" s="292"/>
    </row>
    <row r="52" spans="1:15">
      <c r="A52" s="37"/>
      <c r="B52" s="285" t="s">
        <v>3</v>
      </c>
      <c r="C52" s="285"/>
      <c r="D52" s="285"/>
      <c r="E52" s="285"/>
      <c r="F52" s="48"/>
      <c r="G52" s="52"/>
      <c r="H52" s="257" t="s">
        <v>228</v>
      </c>
      <c r="I52" s="258"/>
      <c r="J52" s="258"/>
      <c r="K52" s="286" t="s">
        <v>127</v>
      </c>
      <c r="L52" s="287"/>
      <c r="M52" s="287"/>
      <c r="N52" s="287"/>
      <c r="O52" s="287"/>
    </row>
    <row r="53" spans="1:15">
      <c r="A53" s="37"/>
      <c r="B53" s="283" t="s">
        <v>187</v>
      </c>
      <c r="C53" s="283"/>
      <c r="D53" s="283"/>
      <c r="E53" s="283"/>
      <c r="F53" s="48"/>
      <c r="G53" s="52"/>
      <c r="H53" s="250"/>
      <c r="I53" s="250"/>
      <c r="J53" s="250"/>
      <c r="K53" s="67" t="s">
        <v>230</v>
      </c>
      <c r="L53" s="64"/>
      <c r="M53" s="64"/>
      <c r="N53" s="64"/>
      <c r="O53" s="64"/>
    </row>
    <row r="54" spans="1:15">
      <c r="A54" s="37"/>
      <c r="B54" s="283" t="s">
        <v>188</v>
      </c>
      <c r="C54" s="284"/>
      <c r="D54" s="284"/>
      <c r="E54" s="284"/>
      <c r="F54" s="48"/>
      <c r="G54" s="52"/>
    </row>
    <row r="55" spans="1:15">
      <c r="A55" s="37"/>
      <c r="B55" s="283" t="s">
        <v>190</v>
      </c>
      <c r="C55" s="284"/>
      <c r="D55" s="284"/>
      <c r="E55" s="284"/>
      <c r="F55" s="48"/>
      <c r="G55" s="52"/>
      <c r="H55" s="291" t="s">
        <v>130</v>
      </c>
      <c r="I55" s="292"/>
      <c r="J55" s="292"/>
      <c r="K55" s="292"/>
      <c r="L55" s="292"/>
      <c r="M55" s="292"/>
      <c r="N55" s="292"/>
      <c r="O55" s="292"/>
    </row>
    <row r="56" spans="1:15">
      <c r="A56" s="37"/>
      <c r="B56" s="294" t="s">
        <v>195</v>
      </c>
      <c r="C56" s="294"/>
      <c r="D56" s="294"/>
      <c r="E56" s="294"/>
      <c r="F56" s="48"/>
      <c r="G56" s="52"/>
      <c r="H56" s="273" t="s">
        <v>233</v>
      </c>
      <c r="I56" s="274"/>
      <c r="J56" s="274"/>
      <c r="K56" s="286" t="s">
        <v>131</v>
      </c>
      <c r="L56" s="287"/>
      <c r="M56" s="287"/>
      <c r="N56" s="287"/>
      <c r="O56" s="287"/>
    </row>
    <row r="57" spans="1:15">
      <c r="A57" s="37"/>
      <c r="B57" s="288"/>
      <c r="C57" s="288"/>
      <c r="D57" s="288"/>
      <c r="E57" s="288"/>
      <c r="F57" s="48"/>
      <c r="G57" s="52"/>
      <c r="H57" s="275"/>
      <c r="I57" s="275"/>
      <c r="J57" s="275"/>
      <c r="K57" s="67" t="s">
        <v>132</v>
      </c>
      <c r="L57" s="190"/>
      <c r="M57" s="190"/>
      <c r="N57" s="190"/>
      <c r="O57" s="190"/>
    </row>
    <row r="58" spans="1:15">
      <c r="A58" s="37"/>
      <c r="B58" s="289">
        <f ca="1">NOW()</f>
        <v>46069.632974189815</v>
      </c>
      <c r="C58" s="289"/>
      <c r="D58" s="71"/>
      <c r="E58" s="71"/>
      <c r="F58" s="48"/>
      <c r="G58" s="52"/>
      <c r="H58" s="276"/>
      <c r="I58" s="276"/>
      <c r="J58" s="276"/>
      <c r="K58" s="255" t="s">
        <v>235</v>
      </c>
      <c r="L58" s="256"/>
      <c r="M58" s="256"/>
      <c r="N58" s="256"/>
      <c r="O58" s="256"/>
    </row>
    <row r="59" spans="1:15" ht="8.1" customHeight="1">
      <c r="A59" s="37"/>
      <c r="B59" s="289"/>
      <c r="C59" s="289"/>
      <c r="D59" s="196"/>
      <c r="E59" s="196"/>
      <c r="F59" s="48"/>
      <c r="G59" s="52"/>
      <c r="H59" s="192"/>
      <c r="I59" s="192"/>
      <c r="J59" s="192"/>
      <c r="K59" s="192"/>
      <c r="L59" s="193"/>
      <c r="M59" s="193"/>
      <c r="N59" s="193"/>
      <c r="O59" s="193"/>
    </row>
    <row r="60" spans="1:15" ht="8.1" customHeight="1">
      <c r="A60" s="37"/>
      <c r="B60" s="289"/>
      <c r="C60" s="289"/>
      <c r="D60" s="69"/>
      <c r="E60" s="70"/>
      <c r="F60" s="35"/>
      <c r="G60" s="35"/>
      <c r="H60" s="35"/>
      <c r="I60" s="35"/>
      <c r="J60" s="35"/>
      <c r="K60" s="295"/>
      <c r="L60" s="295"/>
      <c r="M60" s="295"/>
      <c r="N60" s="295"/>
      <c r="O60" s="295"/>
    </row>
  </sheetData>
  <mergeCells count="79">
    <mergeCell ref="K1:O1"/>
    <mergeCell ref="B1:E3"/>
    <mergeCell ref="H3:J4"/>
    <mergeCell ref="K3:O3"/>
    <mergeCell ref="B4:E5"/>
    <mergeCell ref="H5:J5"/>
    <mergeCell ref="B20:E20"/>
    <mergeCell ref="B21:D21"/>
    <mergeCell ref="H23:J23"/>
    <mergeCell ref="H24:J24"/>
    <mergeCell ref="H12:J14"/>
    <mergeCell ref="H15:J17"/>
    <mergeCell ref="B6:E13"/>
    <mergeCell ref="H9:J10"/>
    <mergeCell ref="H6:J6"/>
    <mergeCell ref="H19:J19"/>
    <mergeCell ref="H20:J20"/>
    <mergeCell ref="H21:J21"/>
    <mergeCell ref="H7:J7"/>
    <mergeCell ref="B14:D14"/>
    <mergeCell ref="B15:E19"/>
    <mergeCell ref="H22:J22"/>
    <mergeCell ref="B25:D25"/>
    <mergeCell ref="B30:D30"/>
    <mergeCell ref="K23:O26"/>
    <mergeCell ref="K27:O27"/>
    <mergeCell ref="K28:O28"/>
    <mergeCell ref="K30:O30"/>
    <mergeCell ref="H25:J25"/>
    <mergeCell ref="H26:J26"/>
    <mergeCell ref="H27:J27"/>
    <mergeCell ref="H28:J28"/>
    <mergeCell ref="B56:E56"/>
    <mergeCell ref="B51:D51"/>
    <mergeCell ref="K60:O60"/>
    <mergeCell ref="B33:D33"/>
    <mergeCell ref="B52:E52"/>
    <mergeCell ref="K33:O33"/>
    <mergeCell ref="K34:O34"/>
    <mergeCell ref="K35:O35"/>
    <mergeCell ref="K36:O36"/>
    <mergeCell ref="B55:E55"/>
    <mergeCell ref="H51:O51"/>
    <mergeCell ref="H52:J53"/>
    <mergeCell ref="K52:O52"/>
    <mergeCell ref="B48:E48"/>
    <mergeCell ref="H55:O55"/>
    <mergeCell ref="K13:O16"/>
    <mergeCell ref="K4:O7"/>
    <mergeCell ref="H30:J32"/>
    <mergeCell ref="K46:O49"/>
    <mergeCell ref="H38:O38"/>
    <mergeCell ref="H39:J40"/>
    <mergeCell ref="K39:O39"/>
    <mergeCell ref="K40:O42"/>
    <mergeCell ref="H41:J43"/>
    <mergeCell ref="K43:O43"/>
    <mergeCell ref="H18:J18"/>
    <mergeCell ref="K12:O12"/>
    <mergeCell ref="K17:O18"/>
    <mergeCell ref="K19:O22"/>
    <mergeCell ref="K9:O10"/>
    <mergeCell ref="K32:O32"/>
    <mergeCell ref="K31:O31"/>
    <mergeCell ref="H56:J58"/>
    <mergeCell ref="K56:O56"/>
    <mergeCell ref="K58:O58"/>
    <mergeCell ref="B42:E42"/>
    <mergeCell ref="H33:J33"/>
    <mergeCell ref="H34:J34"/>
    <mergeCell ref="H35:J35"/>
    <mergeCell ref="H36:J36"/>
    <mergeCell ref="B57:E57"/>
    <mergeCell ref="H45:J46"/>
    <mergeCell ref="K45:O45"/>
    <mergeCell ref="H47:J49"/>
    <mergeCell ref="B58:C60"/>
    <mergeCell ref="B53:E53"/>
    <mergeCell ref="B54:E54"/>
  </mergeCells>
  <conditionalFormatting sqref="E22:E41 E49:E50 E43:E47 T43:T46">
    <cfRule type="dataBar" priority="1">
      <dataBar showValue="0">
        <cfvo type="num" val="0"/>
        <cfvo type="num" val="10"/>
        <color theme="4" tint="-0.249977111117893"/>
      </dataBar>
      <extLst>
        <ext xmlns:x14="http://schemas.microsoft.com/office/spreadsheetml/2009/9/main" uri="{B025F937-C7B1-47D3-B67F-A62EFF666E3E}">
          <x14:id>{09D31BC3-2F5D-42F4-BB17-9357043B2784}</x14:id>
        </ext>
      </extLst>
    </cfRule>
  </conditionalFormatting>
  <hyperlinks>
    <hyperlink ref="B53" r:id="rId1" xr:uid="{10EF1616-1FD2-4FDD-89C6-596AA5384C1F}"/>
    <hyperlink ref="K43" r:id="rId2" xr:uid="{829D343E-9609-4F87-B589-0B5F590E3638}"/>
    <hyperlink ref="B54" r:id="rId3" xr:uid="{F4D1E37F-27A3-4C7E-AA60-3ECBBFFE5BD4}"/>
    <hyperlink ref="B55" r:id="rId4" xr:uid="{C2D2F480-C4D4-4D7F-AE7A-3B0B3CAD28D8}"/>
    <hyperlink ref="H18:J18" r:id="rId5" display="http://www.sunbird.lk/" xr:uid="{7D326EC6-A74F-4E0D-BA40-503E358D4014}"/>
    <hyperlink ref="K58" r:id="rId6" display="jserranopaul@gmail.com " xr:uid="{5A51CFF1-13DB-4246-91FD-535AF8BF6400}"/>
    <hyperlink ref="K58:N58" r:id="rId7" tooltip="jorge.paul@wbscodingschool.com" display="jorge.paul@wbscodingschool.com" xr:uid="{94B3079B-4368-48E5-AB32-B98A8EE72A07}"/>
  </hyperlinks>
  <printOptions horizontalCentered="1" verticalCentered="1"/>
  <pageMargins left="0" right="0" top="0" bottom="0" header="0" footer="0"/>
  <pageSetup paperSize="9" fitToHeight="0" orientation="portrait" r:id="rId8"/>
  <drawing r:id="rId9"/>
  <extLst>
    <ext xmlns:x14="http://schemas.microsoft.com/office/spreadsheetml/2009/9/main" uri="{78C0D931-6437-407d-A8EE-F0AAD7539E65}">
      <x14:conditionalFormattings>
        <x14:conditionalFormatting xmlns:xm="http://schemas.microsoft.com/office/excel/2006/main">
          <x14:cfRule type="dataBar" id="{09D31BC3-2F5D-42F4-BB17-9357043B2784}">
            <x14:dataBar minLength="0" maxLength="100" gradient="0">
              <x14:cfvo type="num">
                <xm:f>0</xm:f>
              </x14:cfvo>
              <x14:cfvo type="num">
                <xm:f>10</xm:f>
              </x14:cfvo>
              <x14:negativeFillColor rgb="FFFF0000"/>
              <x14:axisColor rgb="FF000000"/>
            </x14:dataBar>
          </x14:cfRule>
          <xm:sqref>E22:E41 E49:E50 E43:E47 T43:T46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D661-070B-428E-A838-A22F1459F678}">
  <dimension ref="A1:AG60"/>
  <sheetViews>
    <sheetView topLeftCell="A26" workbookViewId="0">
      <selection activeCell="P50" sqref="P50"/>
    </sheetView>
  </sheetViews>
  <sheetFormatPr defaultRowHeight="15"/>
  <cols>
    <col min="1" max="1" width="2.28515625" customWidth="1"/>
    <col min="4" max="4" width="5.28515625" customWidth="1"/>
    <col min="5" max="5" width="12.85546875" customWidth="1"/>
    <col min="6" max="7" width="0.85546875" customWidth="1"/>
    <col min="8" max="8" width="9.28515625" customWidth="1"/>
    <col min="9" max="9" width="6.5703125" customWidth="1"/>
    <col min="10" max="14" width="7.7109375" customWidth="1"/>
    <col min="15" max="15" width="8.85546875" customWidth="1"/>
  </cols>
  <sheetData>
    <row r="1" spans="1:33" ht="12" customHeight="1">
      <c r="A1" s="34"/>
      <c r="B1" s="299" t="s">
        <v>137</v>
      </c>
      <c r="C1" s="299"/>
      <c r="D1" s="299"/>
      <c r="E1" s="299"/>
      <c r="F1" s="35"/>
      <c r="G1" s="35"/>
      <c r="H1" s="35"/>
      <c r="I1" s="35"/>
      <c r="J1" s="35"/>
      <c r="K1" s="259"/>
      <c r="L1" s="260"/>
      <c r="M1" s="260"/>
      <c r="N1" s="260"/>
      <c r="O1" s="260"/>
    </row>
    <row r="2" spans="1:33" ht="6" customHeight="1">
      <c r="A2" s="36"/>
      <c r="B2" s="299"/>
      <c r="C2" s="299"/>
      <c r="D2" s="299"/>
      <c r="E2" s="299"/>
      <c r="F2" s="36"/>
      <c r="G2" s="49" t="s">
        <v>261</v>
      </c>
      <c r="H2" s="50"/>
      <c r="I2" s="50"/>
      <c r="J2" s="50"/>
      <c r="K2" s="50"/>
      <c r="L2" s="50"/>
      <c r="M2" s="50"/>
      <c r="N2" s="50"/>
      <c r="O2" s="50"/>
      <c r="Y2" s="49" t="s">
        <v>261</v>
      </c>
      <c r="Z2" s="50"/>
      <c r="AA2" s="50"/>
      <c r="AB2" s="50"/>
      <c r="AC2" s="50"/>
      <c r="AD2" s="50"/>
      <c r="AE2" s="50"/>
      <c r="AF2" s="50"/>
      <c r="AG2" s="50"/>
    </row>
    <row r="3" spans="1:33" ht="15" customHeight="1">
      <c r="A3" s="36"/>
      <c r="B3" s="299"/>
      <c r="C3" s="299"/>
      <c r="D3" s="299"/>
      <c r="E3" s="299"/>
      <c r="F3" s="36"/>
      <c r="G3" s="51"/>
      <c r="Y3" s="51"/>
      <c r="Z3" s="258" t="s">
        <v>262</v>
      </c>
      <c r="AA3" s="258"/>
      <c r="AB3" s="258"/>
      <c r="AC3" s="324" t="s">
        <v>263</v>
      </c>
      <c r="AD3" s="324"/>
      <c r="AE3" s="324"/>
      <c r="AF3" s="324"/>
      <c r="AG3" s="325"/>
    </row>
    <row r="4" spans="1:33">
      <c r="A4" s="36"/>
      <c r="B4" s="265" t="s">
        <v>1</v>
      </c>
      <c r="C4" s="265"/>
      <c r="D4" s="265"/>
      <c r="E4" s="265"/>
      <c r="F4" s="36"/>
      <c r="G4" s="51"/>
      <c r="H4" s="309"/>
      <c r="I4" s="310"/>
      <c r="J4" s="310"/>
      <c r="K4" s="317" t="s">
        <v>91</v>
      </c>
      <c r="L4" s="318"/>
      <c r="M4" s="318"/>
      <c r="N4" s="318"/>
      <c r="O4" s="318"/>
      <c r="Y4" s="51"/>
      <c r="Z4" s="258"/>
      <c r="AA4" s="258"/>
      <c r="AB4" s="258"/>
      <c r="AC4" s="266" t="s">
        <v>264</v>
      </c>
      <c r="AD4" s="266"/>
      <c r="AE4" s="266" t="s">
        <v>265</v>
      </c>
      <c r="AF4" s="266"/>
      <c r="AG4" s="320"/>
    </row>
    <row r="5" spans="1:33">
      <c r="A5" s="36"/>
      <c r="B5" s="265"/>
      <c r="C5" s="265"/>
      <c r="D5" s="265"/>
      <c r="E5" s="265"/>
      <c r="F5" s="36"/>
      <c r="G5" s="51"/>
      <c r="H5" s="258" t="s">
        <v>262</v>
      </c>
      <c r="I5" s="258"/>
      <c r="J5" s="258"/>
      <c r="K5" s="301" t="s">
        <v>263</v>
      </c>
      <c r="L5" s="301"/>
      <c r="M5" s="301"/>
      <c r="N5" s="301"/>
      <c r="O5" s="311"/>
      <c r="Y5" s="51"/>
      <c r="Z5" s="321"/>
      <c r="AA5" s="321"/>
      <c r="AB5" s="321"/>
      <c r="AC5" s="266"/>
      <c r="AD5" s="266"/>
      <c r="AE5" s="266"/>
      <c r="AF5" s="266"/>
      <c r="AG5" s="320"/>
    </row>
    <row r="6" spans="1:33">
      <c r="A6" s="36"/>
      <c r="B6" s="312" t="s">
        <v>266</v>
      </c>
      <c r="C6" s="313"/>
      <c r="D6" s="313"/>
      <c r="E6" s="313"/>
      <c r="F6" s="36"/>
      <c r="G6" s="51"/>
      <c r="H6" s="258"/>
      <c r="I6" s="258"/>
      <c r="J6" s="258"/>
      <c r="K6" s="266" t="s">
        <v>264</v>
      </c>
      <c r="L6" s="266"/>
      <c r="M6" s="266" t="s">
        <v>265</v>
      </c>
      <c r="N6" s="266"/>
      <c r="O6" s="320"/>
      <c r="Y6" s="51"/>
      <c r="Z6" s="251"/>
      <c r="AA6" s="251"/>
      <c r="AB6" s="251"/>
      <c r="AC6" s="266"/>
      <c r="AD6" s="266"/>
      <c r="AE6" s="266"/>
      <c r="AF6" s="266"/>
      <c r="AG6" s="320"/>
    </row>
    <row r="7" spans="1:33" ht="8.1" customHeight="1">
      <c r="A7" s="36"/>
      <c r="B7" s="313"/>
      <c r="C7" s="313"/>
      <c r="D7" s="313"/>
      <c r="E7" s="313"/>
      <c r="F7" s="36"/>
      <c r="G7" s="51"/>
      <c r="H7" s="321"/>
      <c r="I7" s="321"/>
      <c r="J7" s="321"/>
      <c r="K7" s="266"/>
      <c r="L7" s="266"/>
      <c r="M7" s="266"/>
      <c r="N7" s="266"/>
      <c r="O7" s="320"/>
      <c r="Y7" s="51"/>
      <c r="Z7" s="251"/>
      <c r="AA7" s="251"/>
      <c r="AB7" s="251"/>
      <c r="AC7" s="268"/>
      <c r="AD7" s="268"/>
      <c r="AE7" s="268"/>
      <c r="AF7" s="268"/>
      <c r="AG7" s="320"/>
    </row>
    <row r="8" spans="1:33">
      <c r="A8" s="36"/>
      <c r="B8" s="313"/>
      <c r="C8" s="313"/>
      <c r="D8" s="313"/>
      <c r="E8" s="313"/>
      <c r="F8" s="36"/>
      <c r="G8" s="51"/>
      <c r="H8" s="251"/>
      <c r="I8" s="251"/>
      <c r="J8" s="251"/>
      <c r="K8" s="266"/>
      <c r="L8" s="266"/>
      <c r="M8" s="266"/>
      <c r="N8" s="266"/>
      <c r="O8" s="320"/>
      <c r="Y8" s="51"/>
      <c r="Z8" s="197"/>
      <c r="AA8" s="197"/>
      <c r="AB8" s="197"/>
      <c r="AC8" s="194"/>
      <c r="AD8" s="194"/>
      <c r="AE8" s="194"/>
      <c r="AF8" s="194"/>
      <c r="AG8" s="194"/>
    </row>
    <row r="9" spans="1:33">
      <c r="A9" s="36"/>
      <c r="B9" s="313"/>
      <c r="C9" s="313"/>
      <c r="D9" s="313"/>
      <c r="E9" s="313"/>
      <c r="F9" s="36"/>
      <c r="G9" s="51"/>
      <c r="H9" s="251"/>
      <c r="I9" s="251"/>
      <c r="J9" s="251"/>
      <c r="K9" s="268"/>
      <c r="L9" s="268"/>
      <c r="M9" s="268"/>
      <c r="N9" s="268"/>
      <c r="O9" s="320"/>
      <c r="Y9" s="51"/>
      <c r="Z9" s="249" t="s">
        <v>267</v>
      </c>
      <c r="AA9" s="250"/>
      <c r="AB9" s="250"/>
      <c r="AC9" s="326" t="s">
        <v>268</v>
      </c>
      <c r="AD9" s="316"/>
      <c r="AE9" s="316"/>
      <c r="AF9" s="316"/>
      <c r="AG9" s="316"/>
    </row>
    <row r="10" spans="1:33">
      <c r="A10" s="36"/>
      <c r="B10" s="313"/>
      <c r="C10" s="313"/>
      <c r="D10" s="313"/>
      <c r="E10" s="313"/>
      <c r="F10" s="36"/>
      <c r="G10" s="51"/>
      <c r="H10" s="249" t="s">
        <v>267</v>
      </c>
      <c r="I10" s="250"/>
      <c r="J10" s="250"/>
      <c r="K10" s="314" t="s">
        <v>268</v>
      </c>
      <c r="L10" s="315"/>
      <c r="M10" s="315"/>
      <c r="N10" s="315"/>
      <c r="O10" s="315"/>
      <c r="Y10" s="51"/>
      <c r="Z10" s="250"/>
      <c r="AA10" s="250"/>
      <c r="AB10" s="250"/>
      <c r="AC10" s="316"/>
      <c r="AD10" s="316"/>
      <c r="AE10" s="316"/>
      <c r="AF10" s="316"/>
      <c r="AG10" s="316"/>
    </row>
    <row r="11" spans="1:33">
      <c r="A11" s="36"/>
      <c r="B11" s="313"/>
      <c r="C11" s="313"/>
      <c r="D11" s="313"/>
      <c r="E11" s="313"/>
      <c r="F11" s="36"/>
      <c r="G11" s="51"/>
      <c r="H11" s="250"/>
      <c r="I11" s="250"/>
      <c r="J11" s="250"/>
      <c r="K11" s="316"/>
      <c r="L11" s="316"/>
      <c r="M11" s="316"/>
      <c r="N11" s="316"/>
      <c r="O11" s="316"/>
      <c r="Y11" s="51"/>
    </row>
    <row r="12" spans="1:33" ht="15" customHeight="1">
      <c r="A12" s="36"/>
      <c r="B12" s="313"/>
      <c r="C12" s="313"/>
      <c r="D12" s="313"/>
      <c r="E12" s="313"/>
      <c r="F12" s="36"/>
      <c r="G12" s="51"/>
      <c r="H12" s="249" t="s">
        <v>269</v>
      </c>
      <c r="I12" s="249"/>
      <c r="J12" s="249"/>
      <c r="K12" s="301" t="s">
        <v>270</v>
      </c>
      <c r="L12" s="301"/>
      <c r="M12" s="301"/>
      <c r="N12" s="301"/>
      <c r="O12" s="302"/>
      <c r="Y12" s="51"/>
      <c r="Z12" s="249" t="s">
        <v>269</v>
      </c>
      <c r="AA12" s="249"/>
      <c r="AB12" s="249"/>
      <c r="AC12" s="324" t="s">
        <v>270</v>
      </c>
      <c r="AD12" s="324"/>
      <c r="AE12" s="324"/>
      <c r="AF12" s="324"/>
      <c r="AG12" s="327"/>
    </row>
    <row r="13" spans="1:33" ht="15" customHeight="1">
      <c r="A13" s="36"/>
      <c r="B13" s="313"/>
      <c r="C13" s="313"/>
      <c r="D13" s="313"/>
      <c r="E13" s="313"/>
      <c r="F13" s="36"/>
      <c r="G13" s="52"/>
      <c r="H13" s="249"/>
      <c r="I13" s="249"/>
      <c r="J13" s="249"/>
      <c r="K13" s="266" t="s">
        <v>271</v>
      </c>
      <c r="L13" s="266"/>
      <c r="M13" s="266"/>
      <c r="N13" s="266"/>
      <c r="O13" s="266"/>
      <c r="Y13" s="52"/>
      <c r="Z13" s="249"/>
      <c r="AA13" s="249"/>
      <c r="AB13" s="249"/>
      <c r="AC13" s="266" t="s">
        <v>271</v>
      </c>
      <c r="AD13" s="266"/>
      <c r="AE13" s="266"/>
      <c r="AF13" s="266"/>
      <c r="AG13" s="266"/>
    </row>
    <row r="14" spans="1:33">
      <c r="A14" s="36"/>
      <c r="B14" s="261" t="s">
        <v>272</v>
      </c>
      <c r="C14" s="262"/>
      <c r="D14" s="262"/>
      <c r="E14" s="40"/>
      <c r="F14" s="46"/>
      <c r="G14" s="51"/>
      <c r="H14" s="250"/>
      <c r="I14" s="250"/>
      <c r="J14" s="250"/>
      <c r="K14" s="266"/>
      <c r="L14" s="266"/>
      <c r="M14" s="266"/>
      <c r="N14" s="266"/>
      <c r="O14" s="266"/>
      <c r="Y14" s="51"/>
      <c r="Z14" s="250"/>
      <c r="AA14" s="250"/>
      <c r="AB14" s="250"/>
      <c r="AC14" s="266"/>
      <c r="AD14" s="266"/>
      <c r="AE14" s="266"/>
      <c r="AF14" s="266"/>
      <c r="AG14" s="266"/>
    </row>
    <row r="15" spans="1:33" ht="15" customHeight="1">
      <c r="A15" s="36"/>
      <c r="B15" s="298" t="s">
        <v>273</v>
      </c>
      <c r="C15" s="298"/>
      <c r="D15" s="298"/>
      <c r="E15" s="298"/>
      <c r="F15" s="46"/>
      <c r="G15" s="51"/>
      <c r="H15" s="322"/>
      <c r="I15" s="322"/>
      <c r="J15" s="322"/>
      <c r="K15" s="266"/>
      <c r="L15" s="266"/>
      <c r="M15" s="266"/>
      <c r="N15" s="266"/>
      <c r="O15" s="266"/>
      <c r="Y15" s="51"/>
      <c r="Z15" s="322"/>
      <c r="AA15" s="322"/>
      <c r="AB15" s="322"/>
      <c r="AC15" s="266"/>
      <c r="AD15" s="266"/>
      <c r="AE15" s="266"/>
      <c r="AF15" s="266"/>
      <c r="AG15" s="266"/>
    </row>
    <row r="16" spans="1:33">
      <c r="A16" s="36"/>
      <c r="B16" s="298"/>
      <c r="C16" s="298"/>
      <c r="D16" s="298"/>
      <c r="E16" s="298"/>
      <c r="F16" s="36"/>
      <c r="G16" s="51"/>
      <c r="H16" s="322"/>
      <c r="I16" s="322"/>
      <c r="J16" s="322"/>
      <c r="K16" s="266"/>
      <c r="L16" s="266"/>
      <c r="M16" s="266"/>
      <c r="N16" s="266"/>
      <c r="O16" s="266"/>
      <c r="Y16" s="51"/>
      <c r="Z16" s="322"/>
      <c r="AA16" s="322"/>
      <c r="AB16" s="322"/>
      <c r="AC16" s="266"/>
      <c r="AD16" s="266"/>
      <c r="AE16" s="266"/>
      <c r="AF16" s="266"/>
      <c r="AG16" s="266"/>
    </row>
    <row r="17" spans="1:33" ht="15" customHeight="1">
      <c r="A17" s="36"/>
      <c r="B17" s="298"/>
      <c r="C17" s="298"/>
      <c r="D17" s="298"/>
      <c r="E17" s="298"/>
      <c r="F17" s="36"/>
      <c r="G17" s="51"/>
      <c r="H17" s="251" t="s">
        <v>274</v>
      </c>
      <c r="I17" s="251"/>
      <c r="J17" s="251"/>
      <c r="K17" s="319"/>
      <c r="L17" s="319"/>
      <c r="M17" s="319"/>
      <c r="N17" s="319"/>
      <c r="O17" s="319"/>
      <c r="Y17" s="51"/>
      <c r="Z17" s="251" t="s">
        <v>274</v>
      </c>
      <c r="AA17" s="251"/>
      <c r="AB17" s="251"/>
      <c r="AC17" s="319"/>
      <c r="AD17" s="319"/>
      <c r="AE17" s="319"/>
      <c r="AF17" s="319"/>
      <c r="AG17" s="319"/>
    </row>
    <row r="18" spans="1:33">
      <c r="A18" s="36"/>
      <c r="B18" s="298"/>
      <c r="C18" s="298"/>
      <c r="D18" s="298"/>
      <c r="E18" s="298"/>
      <c r="F18" s="36"/>
      <c r="G18" s="53"/>
      <c r="H18" s="251"/>
      <c r="I18" s="251"/>
      <c r="J18" s="251"/>
      <c r="K18" s="319"/>
      <c r="L18" s="319"/>
      <c r="M18" s="319"/>
      <c r="N18" s="319"/>
      <c r="O18" s="319"/>
      <c r="Y18" s="53"/>
      <c r="Z18" s="251"/>
      <c r="AA18" s="251"/>
      <c r="AB18" s="251"/>
      <c r="AC18" s="319"/>
      <c r="AD18" s="319"/>
      <c r="AE18" s="319"/>
      <c r="AF18" s="319"/>
      <c r="AG18" s="319"/>
    </row>
    <row r="19" spans="1:33" ht="15" customHeight="1">
      <c r="A19" s="36"/>
      <c r="B19" s="298"/>
      <c r="C19" s="298"/>
      <c r="D19" s="298"/>
      <c r="E19" s="298"/>
      <c r="F19" s="36"/>
      <c r="G19" s="53"/>
      <c r="H19" s="252"/>
      <c r="I19" s="252"/>
      <c r="J19" s="252"/>
      <c r="K19" s="319"/>
      <c r="L19" s="319"/>
      <c r="M19" s="319"/>
      <c r="N19" s="319"/>
      <c r="O19" s="319"/>
      <c r="Y19" s="53"/>
      <c r="Z19" s="252"/>
      <c r="AA19" s="252"/>
      <c r="AB19" s="252"/>
      <c r="AC19" s="319"/>
      <c r="AD19" s="319"/>
      <c r="AE19" s="319"/>
      <c r="AF19" s="319"/>
      <c r="AG19" s="319"/>
    </row>
    <row r="20" spans="1:33">
      <c r="A20" s="36"/>
      <c r="B20" s="306" t="s">
        <v>12</v>
      </c>
      <c r="C20" s="306"/>
      <c r="D20" s="306"/>
      <c r="E20" s="306"/>
      <c r="F20" s="36"/>
      <c r="G20" s="53"/>
      <c r="H20" s="293" t="s">
        <v>156</v>
      </c>
      <c r="I20" s="293"/>
      <c r="J20" s="293"/>
      <c r="K20" s="319"/>
      <c r="L20" s="319"/>
      <c r="M20" s="319"/>
      <c r="N20" s="319"/>
      <c r="O20" s="319"/>
      <c r="Y20" s="53"/>
      <c r="Z20" s="293" t="s">
        <v>156</v>
      </c>
      <c r="AA20" s="293"/>
      <c r="AB20" s="293"/>
      <c r="AC20" s="319"/>
      <c r="AD20" s="319"/>
      <c r="AE20" s="319"/>
      <c r="AF20" s="319"/>
      <c r="AG20" s="319"/>
    </row>
    <row r="21" spans="1:33">
      <c r="A21" s="36"/>
      <c r="B21" s="261" t="s">
        <v>275</v>
      </c>
      <c r="C21" s="262"/>
      <c r="D21" s="262"/>
      <c r="E21" s="40"/>
      <c r="F21" s="38"/>
      <c r="G21" s="53"/>
      <c r="H21" s="251"/>
      <c r="I21" s="251"/>
      <c r="J21" s="251"/>
      <c r="K21" s="319"/>
      <c r="L21" s="319"/>
      <c r="M21" s="319"/>
      <c r="N21" s="319"/>
      <c r="O21" s="319"/>
      <c r="Y21" s="53"/>
      <c r="Z21" s="251"/>
      <c r="AA21" s="251"/>
      <c r="AB21" s="251"/>
      <c r="AC21" s="319"/>
      <c r="AD21" s="319"/>
      <c r="AE21" s="319"/>
      <c r="AF21" s="319"/>
      <c r="AG21" s="319"/>
    </row>
    <row r="22" spans="1:33">
      <c r="A22" s="36"/>
      <c r="B22" s="44" t="s">
        <v>160</v>
      </c>
      <c r="C22" s="36"/>
      <c r="D22" s="36"/>
      <c r="E22" s="45">
        <v>7</v>
      </c>
      <c r="F22" s="38"/>
      <c r="G22" s="53"/>
      <c r="H22" s="251"/>
      <c r="I22" s="251"/>
      <c r="J22" s="251"/>
      <c r="K22" s="319"/>
      <c r="L22" s="319"/>
      <c r="M22" s="319"/>
      <c r="N22" s="319"/>
      <c r="O22" s="319"/>
      <c r="Y22" s="53"/>
      <c r="Z22" s="251"/>
      <c r="AA22" s="251"/>
      <c r="AB22" s="251"/>
      <c r="AC22" s="319"/>
      <c r="AD22" s="319"/>
      <c r="AE22" s="319"/>
      <c r="AF22" s="319"/>
      <c r="AG22" s="319"/>
    </row>
    <row r="23" spans="1:33" ht="15" customHeight="1">
      <c r="A23" s="36"/>
      <c r="B23" s="44" t="s">
        <v>161</v>
      </c>
      <c r="C23" s="36"/>
      <c r="D23" s="36"/>
      <c r="E23" s="39">
        <v>6</v>
      </c>
      <c r="F23" s="38"/>
      <c r="G23" s="53"/>
      <c r="H23" s="251"/>
      <c r="I23" s="251"/>
      <c r="J23" s="251"/>
      <c r="K23" s="319"/>
      <c r="L23" s="319"/>
      <c r="M23" s="319"/>
      <c r="N23" s="319"/>
      <c r="O23" s="319"/>
      <c r="Y23" s="53"/>
      <c r="Z23" s="251"/>
      <c r="AA23" s="251"/>
      <c r="AB23" s="251"/>
      <c r="AC23" s="319"/>
      <c r="AD23" s="319"/>
      <c r="AE23" s="319"/>
      <c r="AF23" s="319"/>
      <c r="AG23" s="319"/>
    </row>
    <row r="24" spans="1:33">
      <c r="A24" s="36"/>
      <c r="B24" s="44" t="s">
        <v>162</v>
      </c>
      <c r="C24" s="36"/>
      <c r="D24" s="36"/>
      <c r="E24" s="39">
        <v>1</v>
      </c>
      <c r="F24" s="38"/>
      <c r="G24" s="53"/>
      <c r="H24" s="251"/>
      <c r="I24" s="251"/>
      <c r="J24" s="251"/>
      <c r="K24" s="319"/>
      <c r="L24" s="319"/>
      <c r="M24" s="319"/>
      <c r="N24" s="319"/>
      <c r="O24" s="319"/>
      <c r="Y24" s="53"/>
      <c r="Z24" s="251"/>
      <c r="AA24" s="251"/>
      <c r="AB24" s="251"/>
      <c r="AC24" s="319"/>
      <c r="AD24" s="319"/>
      <c r="AE24" s="319"/>
      <c r="AF24" s="319"/>
      <c r="AG24" s="319"/>
    </row>
    <row r="25" spans="1:33">
      <c r="A25" s="36"/>
      <c r="B25" s="261" t="s">
        <v>276</v>
      </c>
      <c r="C25" s="262"/>
      <c r="D25" s="262"/>
      <c r="E25" s="40"/>
      <c r="F25" s="38"/>
      <c r="G25" s="53"/>
      <c r="H25" s="251"/>
      <c r="I25" s="251"/>
      <c r="J25" s="251"/>
      <c r="K25" s="319"/>
      <c r="L25" s="319"/>
      <c r="M25" s="319"/>
      <c r="N25" s="319"/>
      <c r="O25" s="319"/>
      <c r="Y25" s="53"/>
      <c r="Z25" s="251"/>
      <c r="AA25" s="251"/>
      <c r="AB25" s="251"/>
      <c r="AC25" s="319"/>
      <c r="AD25" s="319"/>
      <c r="AE25" s="319"/>
      <c r="AF25" s="319"/>
      <c r="AG25" s="319"/>
    </row>
    <row r="26" spans="1:33">
      <c r="A26" s="36"/>
      <c r="B26" s="44" t="s">
        <v>164</v>
      </c>
      <c r="C26" s="36"/>
      <c r="D26" s="36"/>
      <c r="E26" s="39">
        <v>6</v>
      </c>
      <c r="F26" s="38"/>
      <c r="G26" s="54"/>
      <c r="H26" s="251"/>
      <c r="I26" s="251"/>
      <c r="J26" s="251"/>
      <c r="K26" s="319"/>
      <c r="L26" s="319"/>
      <c r="M26" s="319"/>
      <c r="N26" s="319"/>
      <c r="O26" s="319"/>
      <c r="Y26" s="54"/>
      <c r="Z26" s="251"/>
      <c r="AA26" s="251"/>
      <c r="AB26" s="251"/>
      <c r="AC26" s="319"/>
      <c r="AD26" s="319"/>
      <c r="AE26" s="319"/>
      <c r="AF26" s="319"/>
      <c r="AG26" s="319"/>
    </row>
    <row r="27" spans="1:33" ht="15" customHeight="1">
      <c r="A27" s="36"/>
      <c r="B27" s="44" t="s">
        <v>166</v>
      </c>
      <c r="C27" s="36"/>
      <c r="D27" s="36"/>
      <c r="E27" s="39">
        <v>5</v>
      </c>
      <c r="F27" s="38"/>
      <c r="G27" s="55"/>
      <c r="H27" s="251"/>
      <c r="I27" s="251"/>
      <c r="J27" s="251"/>
      <c r="K27" s="319"/>
      <c r="L27" s="319"/>
      <c r="M27" s="319"/>
      <c r="N27" s="319"/>
      <c r="O27" s="319"/>
      <c r="Y27" s="55"/>
      <c r="Z27" s="251"/>
      <c r="AA27" s="251"/>
      <c r="AB27" s="251"/>
      <c r="AC27" s="319"/>
      <c r="AD27" s="319"/>
      <c r="AE27" s="319"/>
      <c r="AF27" s="319"/>
      <c r="AG27" s="319"/>
    </row>
    <row r="28" spans="1:33" ht="15" customHeight="1">
      <c r="A28" s="36"/>
      <c r="B28" s="44" t="s">
        <v>167</v>
      </c>
      <c r="C28" s="36"/>
      <c r="D28" s="36"/>
      <c r="E28" s="39">
        <v>2</v>
      </c>
      <c r="F28" s="38"/>
      <c r="G28" s="56"/>
      <c r="H28" s="269" t="s">
        <v>277</v>
      </c>
      <c r="I28" s="269"/>
      <c r="J28" s="269"/>
      <c r="K28" s="307" t="s">
        <v>248</v>
      </c>
      <c r="L28" s="307"/>
      <c r="M28" s="307"/>
      <c r="N28" s="307"/>
      <c r="O28" s="307"/>
      <c r="Y28" s="56"/>
    </row>
    <row r="29" spans="1:33">
      <c r="A29" s="36"/>
      <c r="B29" s="44" t="s">
        <v>168</v>
      </c>
      <c r="C29" s="36"/>
      <c r="D29" s="36"/>
      <c r="E29" s="39">
        <v>1</v>
      </c>
      <c r="F29" s="47"/>
      <c r="G29" s="56"/>
      <c r="H29" s="269"/>
      <c r="I29" s="269"/>
      <c r="J29" s="269"/>
      <c r="K29" s="266" t="s">
        <v>249</v>
      </c>
      <c r="L29" s="266"/>
      <c r="M29" s="266"/>
      <c r="N29" s="266"/>
      <c r="O29" s="266"/>
      <c r="Y29" s="56"/>
      <c r="Z29" s="269" t="s">
        <v>277</v>
      </c>
      <c r="AA29" s="269"/>
      <c r="AB29" s="269"/>
      <c r="AC29" s="266" t="s">
        <v>248</v>
      </c>
      <c r="AD29" s="266"/>
      <c r="AE29" s="266"/>
      <c r="AF29" s="266"/>
      <c r="AG29" s="266"/>
    </row>
    <row r="30" spans="1:33">
      <c r="A30" s="36"/>
      <c r="B30" s="261" t="s">
        <v>278</v>
      </c>
      <c r="C30" s="262"/>
      <c r="D30" s="262"/>
      <c r="E30" s="40"/>
      <c r="F30" s="47"/>
      <c r="G30" s="56"/>
      <c r="H30" s="270"/>
      <c r="I30" s="270"/>
      <c r="J30" s="270"/>
      <c r="K30" s="266" t="s">
        <v>250</v>
      </c>
      <c r="L30" s="266"/>
      <c r="M30" s="266"/>
      <c r="N30" s="266"/>
      <c r="O30" s="266"/>
      <c r="Y30" s="56"/>
      <c r="Z30" s="269"/>
      <c r="AA30" s="269"/>
      <c r="AB30" s="269"/>
      <c r="AC30" s="266" t="s">
        <v>249</v>
      </c>
      <c r="AD30" s="266"/>
      <c r="AE30" s="266"/>
      <c r="AF30" s="266"/>
      <c r="AG30" s="266"/>
    </row>
    <row r="31" spans="1:33" ht="15" customHeight="1">
      <c r="A31" s="36"/>
      <c r="B31" s="44" t="s">
        <v>171</v>
      </c>
      <c r="C31" s="36"/>
      <c r="D31" s="36"/>
      <c r="E31" s="39">
        <v>6</v>
      </c>
      <c r="F31" s="48"/>
      <c r="G31" s="56"/>
      <c r="H31" s="321"/>
      <c r="I31" s="321"/>
      <c r="J31" s="321"/>
      <c r="K31" s="266" t="s">
        <v>251</v>
      </c>
      <c r="L31" s="266"/>
      <c r="M31" s="266"/>
      <c r="N31" s="266"/>
      <c r="O31" s="266"/>
      <c r="Y31" s="56"/>
      <c r="Z31" s="270"/>
      <c r="AA31" s="270"/>
      <c r="AB31" s="270"/>
      <c r="AC31" s="266" t="s">
        <v>250</v>
      </c>
      <c r="AD31" s="266"/>
      <c r="AE31" s="266"/>
      <c r="AF31" s="266"/>
      <c r="AG31" s="266"/>
    </row>
    <row r="32" spans="1:33" ht="15" customHeight="1">
      <c r="A32" s="36"/>
      <c r="B32" s="44" t="s">
        <v>173</v>
      </c>
      <c r="C32" s="36"/>
      <c r="D32" s="36"/>
      <c r="E32" s="39">
        <v>1</v>
      </c>
      <c r="F32" s="39"/>
      <c r="G32" s="55"/>
      <c r="H32" s="251"/>
      <c r="I32" s="251"/>
      <c r="J32" s="251"/>
      <c r="K32" s="266" t="s">
        <v>252</v>
      </c>
      <c r="L32" s="266"/>
      <c r="M32" s="266"/>
      <c r="N32" s="266"/>
      <c r="O32" s="266"/>
      <c r="Y32" s="55"/>
      <c r="Z32" s="321"/>
      <c r="AA32" s="321"/>
      <c r="AB32" s="321"/>
      <c r="AC32" s="266" t="s">
        <v>251</v>
      </c>
      <c r="AD32" s="266"/>
      <c r="AE32" s="266"/>
      <c r="AF32" s="266"/>
      <c r="AG32" s="266"/>
    </row>
    <row r="33" spans="1:33" ht="15" customHeight="1">
      <c r="A33" s="36"/>
      <c r="B33" s="261" t="s">
        <v>279</v>
      </c>
      <c r="C33" s="262"/>
      <c r="D33" s="262"/>
      <c r="E33" s="40"/>
      <c r="F33" s="39"/>
      <c r="G33" s="56"/>
      <c r="H33" s="251"/>
      <c r="I33" s="251"/>
      <c r="J33" s="251"/>
      <c r="K33" s="266" t="s">
        <v>254</v>
      </c>
      <c r="L33" s="266"/>
      <c r="M33" s="266"/>
      <c r="N33" s="266"/>
      <c r="O33" s="266"/>
      <c r="Y33" s="56"/>
      <c r="Z33" s="251"/>
      <c r="AA33" s="251"/>
      <c r="AB33" s="251"/>
      <c r="AC33" s="266" t="s">
        <v>252</v>
      </c>
      <c r="AD33" s="266"/>
      <c r="AE33" s="266"/>
      <c r="AF33" s="266"/>
      <c r="AG33" s="266"/>
    </row>
    <row r="34" spans="1:33" ht="15" customHeight="1">
      <c r="A34" s="36"/>
      <c r="B34" s="44" t="s">
        <v>175</v>
      </c>
      <c r="C34" s="36"/>
      <c r="D34" s="36"/>
      <c r="E34" s="39">
        <v>6</v>
      </c>
      <c r="F34" s="48"/>
      <c r="G34" s="56"/>
      <c r="H34" s="251"/>
      <c r="I34" s="251"/>
      <c r="J34" s="251"/>
      <c r="K34" s="266" t="s">
        <v>255</v>
      </c>
      <c r="L34" s="266"/>
      <c r="M34" s="266"/>
      <c r="N34" s="266"/>
      <c r="O34" s="266"/>
      <c r="Y34" s="56"/>
      <c r="Z34" s="251"/>
      <c r="AA34" s="251"/>
      <c r="AB34" s="251"/>
      <c r="AC34" s="266" t="s">
        <v>254</v>
      </c>
      <c r="AD34" s="266"/>
      <c r="AE34" s="266"/>
      <c r="AF34" s="266"/>
      <c r="AG34" s="266"/>
    </row>
    <row r="35" spans="1:33" ht="15" customHeight="1">
      <c r="A35" s="36"/>
      <c r="B35" s="44" t="s">
        <v>253</v>
      </c>
      <c r="C35" s="36"/>
      <c r="D35" s="36"/>
      <c r="E35" s="39">
        <v>4</v>
      </c>
      <c r="F35" s="39"/>
      <c r="G35" s="56"/>
      <c r="Y35" s="56"/>
      <c r="Z35" s="251"/>
      <c r="AA35" s="251"/>
      <c r="AB35" s="251"/>
      <c r="AC35" s="266" t="s">
        <v>255</v>
      </c>
      <c r="AD35" s="266"/>
      <c r="AE35" s="266"/>
      <c r="AF35" s="266"/>
      <c r="AG35" s="266"/>
    </row>
    <row r="36" spans="1:33" ht="15" customHeight="1">
      <c r="A36" s="36"/>
      <c r="B36" s="44" t="s">
        <v>180</v>
      </c>
      <c r="C36" s="36"/>
      <c r="D36" s="36"/>
      <c r="E36" s="39">
        <v>2</v>
      </c>
      <c r="F36" s="39"/>
      <c r="G36" s="56"/>
      <c r="H36" s="309"/>
      <c r="I36" s="310"/>
      <c r="J36" s="310"/>
      <c r="K36" s="317" t="s">
        <v>70</v>
      </c>
      <c r="L36" s="318"/>
      <c r="M36" s="318"/>
      <c r="N36" s="318"/>
      <c r="O36" s="318"/>
      <c r="Y36" s="56"/>
    </row>
    <row r="37" spans="1:33" ht="15" customHeight="1">
      <c r="A37" s="36"/>
      <c r="B37" s="44" t="s">
        <v>183</v>
      </c>
      <c r="C37" s="36"/>
      <c r="D37" s="36"/>
      <c r="E37" s="39">
        <v>5</v>
      </c>
      <c r="F37" s="39"/>
      <c r="G37" s="55"/>
      <c r="H37" s="249" t="s">
        <v>280</v>
      </c>
      <c r="I37" s="249"/>
      <c r="J37" s="249"/>
      <c r="K37" s="301" t="s">
        <v>71</v>
      </c>
      <c r="L37" s="301"/>
      <c r="M37" s="301"/>
      <c r="N37" s="301"/>
      <c r="O37" s="302"/>
      <c r="Y37" s="55"/>
      <c r="Z37" s="328"/>
      <c r="AA37" s="329"/>
      <c r="AB37" s="329"/>
      <c r="AC37" s="330" t="s">
        <v>70</v>
      </c>
      <c r="AD37" s="331"/>
      <c r="AE37" s="331"/>
      <c r="AF37" s="331"/>
      <c r="AG37" s="331"/>
    </row>
    <row r="38" spans="1:33">
      <c r="A38" s="36"/>
      <c r="B38" s="44" t="s">
        <v>208</v>
      </c>
      <c r="C38" s="36"/>
      <c r="D38" s="35"/>
      <c r="E38" s="39">
        <v>3</v>
      </c>
      <c r="F38" s="39"/>
      <c r="G38" s="56"/>
      <c r="H38" s="269"/>
      <c r="I38" s="269"/>
      <c r="J38" s="269"/>
      <c r="K38" s="323" t="s">
        <v>281</v>
      </c>
      <c r="L38" s="323"/>
      <c r="M38" s="323"/>
      <c r="N38" s="323"/>
      <c r="O38" s="323"/>
      <c r="Y38" s="56"/>
      <c r="Z38" s="249" t="s">
        <v>280</v>
      </c>
      <c r="AA38" s="249"/>
      <c r="AB38" s="249"/>
      <c r="AC38" s="301" t="s">
        <v>71</v>
      </c>
      <c r="AD38" s="301"/>
      <c r="AE38" s="301"/>
      <c r="AF38" s="301"/>
      <c r="AG38" s="302"/>
    </row>
    <row r="39" spans="1:33" ht="15" customHeight="1">
      <c r="A39" s="36"/>
      <c r="B39" s="44" t="s">
        <v>210</v>
      </c>
      <c r="C39" s="36"/>
      <c r="D39" s="35"/>
      <c r="E39" s="39">
        <v>1</v>
      </c>
      <c r="F39" s="48"/>
      <c r="G39" s="56"/>
      <c r="H39" s="322"/>
      <c r="I39" s="322"/>
      <c r="J39" s="322"/>
      <c r="K39" s="75" t="s">
        <v>76</v>
      </c>
      <c r="L39" s="74"/>
      <c r="M39" s="74"/>
      <c r="N39" s="74"/>
      <c r="O39" s="74"/>
      <c r="Y39" s="56"/>
      <c r="Z39" s="269"/>
      <c r="AA39" s="269"/>
      <c r="AB39" s="269"/>
      <c r="AC39" s="73" t="s">
        <v>282</v>
      </c>
    </row>
    <row r="40" spans="1:33" ht="15" customHeight="1">
      <c r="A40" s="36"/>
      <c r="B40" s="44" t="s">
        <v>211</v>
      </c>
      <c r="C40" s="36"/>
      <c r="D40" s="35"/>
      <c r="E40" s="39">
        <v>1</v>
      </c>
      <c r="F40" s="48"/>
      <c r="G40" s="55"/>
      <c r="H40" s="251" t="s">
        <v>283</v>
      </c>
      <c r="I40" s="251"/>
      <c r="J40" s="251"/>
      <c r="K40" s="75" t="s">
        <v>284</v>
      </c>
      <c r="L40" s="74"/>
      <c r="M40" s="74"/>
      <c r="N40" s="74"/>
      <c r="O40" s="74"/>
      <c r="Y40" s="55"/>
      <c r="Z40" s="322"/>
      <c r="AA40" s="322"/>
      <c r="AB40" s="322"/>
      <c r="AC40" s="255" t="s">
        <v>285</v>
      </c>
      <c r="AD40" s="256"/>
      <c r="AE40" s="256"/>
      <c r="AF40" s="256"/>
      <c r="AG40" s="256"/>
    </row>
    <row r="41" spans="1:33" ht="15" customHeight="1">
      <c r="A41" s="36"/>
      <c r="B41" s="44" t="s">
        <v>212</v>
      </c>
      <c r="C41" s="36"/>
      <c r="D41" s="35"/>
      <c r="E41" s="39">
        <v>0.5</v>
      </c>
      <c r="F41" s="39"/>
      <c r="G41" s="56"/>
      <c r="H41" s="252"/>
      <c r="I41" s="252"/>
      <c r="J41" s="252"/>
      <c r="K41" s="75" t="s">
        <v>286</v>
      </c>
      <c r="L41" s="74"/>
      <c r="M41" s="74"/>
      <c r="N41" s="74"/>
      <c r="O41" s="74"/>
      <c r="Y41" s="56"/>
      <c r="Z41" s="251" t="s">
        <v>283</v>
      </c>
      <c r="AA41" s="251"/>
      <c r="AB41" s="251"/>
      <c r="AC41" s="255" t="s">
        <v>287</v>
      </c>
      <c r="AD41" s="256"/>
      <c r="AE41" s="256"/>
      <c r="AF41" s="256"/>
      <c r="AG41" s="256"/>
    </row>
    <row r="42" spans="1:33">
      <c r="A42" s="36"/>
      <c r="B42" s="306" t="s">
        <v>258</v>
      </c>
      <c r="C42" s="306"/>
      <c r="D42" s="306"/>
      <c r="E42" s="306"/>
      <c r="F42" s="39"/>
      <c r="G42" s="55"/>
      <c r="H42" s="257" t="s">
        <v>288</v>
      </c>
      <c r="I42" s="258"/>
      <c r="J42" s="258"/>
      <c r="K42" s="301" t="s">
        <v>78</v>
      </c>
      <c r="L42" s="301"/>
      <c r="M42" s="301"/>
      <c r="N42" s="301"/>
      <c r="O42" s="302"/>
      <c r="Y42" s="55"/>
      <c r="Z42" s="252"/>
      <c r="AA42" s="252"/>
      <c r="AB42" s="252"/>
      <c r="AC42" s="255" t="s">
        <v>289</v>
      </c>
      <c r="AD42" s="256"/>
      <c r="AE42" s="256"/>
      <c r="AF42" s="256"/>
      <c r="AG42" s="256"/>
    </row>
    <row r="43" spans="1:33">
      <c r="A43" s="36"/>
      <c r="B43" s="44" t="s">
        <v>219</v>
      </c>
      <c r="C43" s="36"/>
      <c r="D43" s="35"/>
      <c r="E43" s="39">
        <v>8</v>
      </c>
      <c r="F43" s="48"/>
      <c r="G43" s="56"/>
      <c r="H43" s="250"/>
      <c r="I43" s="250"/>
      <c r="J43" s="250"/>
      <c r="K43" s="290" t="s">
        <v>259</v>
      </c>
      <c r="L43" s="290"/>
      <c r="M43" s="290"/>
      <c r="N43" s="290"/>
      <c r="O43" s="290"/>
      <c r="Q43" s="44" t="s">
        <v>221</v>
      </c>
      <c r="R43" s="36"/>
      <c r="S43" s="35"/>
      <c r="T43" s="39">
        <v>10</v>
      </c>
      <c r="Y43" s="56"/>
    </row>
    <row r="44" spans="1:33">
      <c r="A44" s="36"/>
      <c r="B44" s="44" t="s">
        <v>290</v>
      </c>
      <c r="C44" s="36"/>
      <c r="D44" s="35"/>
      <c r="E44" s="39">
        <v>9</v>
      </c>
      <c r="F44" s="39"/>
      <c r="G44" s="55"/>
      <c r="H44" s="322"/>
      <c r="I44" s="322"/>
      <c r="J44" s="322"/>
      <c r="K44" s="290"/>
      <c r="L44" s="290"/>
      <c r="M44" s="290"/>
      <c r="N44" s="290"/>
      <c r="O44" s="290"/>
      <c r="Q44" s="44" t="s">
        <v>223</v>
      </c>
      <c r="R44" s="36"/>
      <c r="S44" s="35"/>
      <c r="T44" s="39">
        <v>8</v>
      </c>
      <c r="Y44" s="55"/>
      <c r="Z44" s="257" t="s">
        <v>288</v>
      </c>
      <c r="AA44" s="258"/>
      <c r="AB44" s="258"/>
      <c r="AC44" s="324" t="s">
        <v>78</v>
      </c>
      <c r="AD44" s="324"/>
      <c r="AE44" s="324"/>
      <c r="AF44" s="324"/>
      <c r="AG44" s="327"/>
    </row>
    <row r="45" spans="1:33" ht="15" customHeight="1">
      <c r="A45" s="36"/>
      <c r="B45" s="44" t="s">
        <v>227</v>
      </c>
      <c r="C45" s="36"/>
      <c r="D45" s="35"/>
      <c r="E45" s="39">
        <v>9.5</v>
      </c>
      <c r="F45" s="39"/>
      <c r="G45" s="56"/>
      <c r="H45" s="251" t="s">
        <v>291</v>
      </c>
      <c r="I45" s="251"/>
      <c r="J45" s="251"/>
      <c r="K45" s="290"/>
      <c r="L45" s="290"/>
      <c r="M45" s="290"/>
      <c r="N45" s="290"/>
      <c r="O45" s="290"/>
      <c r="Y45" s="56"/>
      <c r="Z45" s="250"/>
      <c r="AA45" s="250"/>
      <c r="AB45" s="250"/>
      <c r="AC45" s="290" t="s">
        <v>259</v>
      </c>
      <c r="AD45" s="290"/>
      <c r="AE45" s="290"/>
      <c r="AF45" s="290"/>
      <c r="AG45" s="290"/>
    </row>
    <row r="46" spans="1:33">
      <c r="A46" s="36"/>
      <c r="B46" s="44" t="s">
        <v>225</v>
      </c>
      <c r="C46" s="36"/>
      <c r="D46" s="35"/>
      <c r="E46" s="39">
        <v>9.5</v>
      </c>
      <c r="F46" s="39"/>
      <c r="G46" s="55"/>
      <c r="H46" s="254"/>
      <c r="I46" s="254"/>
      <c r="J46" s="254"/>
      <c r="K46" s="290"/>
      <c r="L46" s="290"/>
      <c r="M46" s="290"/>
      <c r="N46" s="290"/>
      <c r="O46" s="290"/>
      <c r="Q46" s="44" t="s">
        <v>229</v>
      </c>
      <c r="R46" s="36"/>
      <c r="S46" s="35"/>
      <c r="T46" s="39">
        <v>8</v>
      </c>
      <c r="Y46" s="55"/>
      <c r="Z46" s="322"/>
      <c r="AA46" s="322"/>
      <c r="AB46" s="322"/>
      <c r="AC46" s="290"/>
      <c r="AD46" s="290"/>
      <c r="AE46" s="290"/>
      <c r="AF46" s="290"/>
      <c r="AG46" s="290"/>
    </row>
    <row r="47" spans="1:33" ht="15" customHeight="1">
      <c r="A47" s="36"/>
      <c r="B47" s="44" t="s">
        <v>222</v>
      </c>
      <c r="C47" s="36"/>
      <c r="D47" s="35"/>
      <c r="E47" s="39">
        <v>9</v>
      </c>
      <c r="F47" s="39"/>
      <c r="G47" s="52"/>
      <c r="Q47" s="44" t="s">
        <v>224</v>
      </c>
      <c r="R47" s="36"/>
      <c r="S47" s="35"/>
      <c r="T47" s="39">
        <v>9</v>
      </c>
      <c r="Y47" s="52"/>
      <c r="Z47" s="251" t="s">
        <v>291</v>
      </c>
      <c r="AA47" s="251"/>
      <c r="AB47" s="251"/>
      <c r="AC47" s="290"/>
      <c r="AD47" s="290"/>
      <c r="AE47" s="290"/>
      <c r="AF47" s="290"/>
      <c r="AG47" s="290"/>
    </row>
    <row r="48" spans="1:33">
      <c r="A48" s="37"/>
      <c r="B48" s="306" t="s">
        <v>83</v>
      </c>
      <c r="C48" s="306"/>
      <c r="D48" s="306"/>
      <c r="E48" s="306"/>
      <c r="F48" s="39"/>
      <c r="G48" s="52"/>
      <c r="H48" s="309"/>
      <c r="I48" s="310"/>
      <c r="J48" s="310"/>
      <c r="K48" s="317" t="s">
        <v>125</v>
      </c>
      <c r="L48" s="318"/>
      <c r="M48" s="318"/>
      <c r="N48" s="318"/>
      <c r="O48" s="318"/>
      <c r="Y48" s="52"/>
      <c r="Z48" s="254"/>
      <c r="AA48" s="254"/>
      <c r="AB48" s="254"/>
      <c r="AC48" s="290"/>
      <c r="AD48" s="290"/>
      <c r="AE48" s="290"/>
      <c r="AF48" s="290"/>
      <c r="AG48" s="290"/>
    </row>
    <row r="49" spans="1:33">
      <c r="A49" s="37"/>
      <c r="B49" s="44" t="s">
        <v>231</v>
      </c>
      <c r="C49" s="40"/>
      <c r="D49" s="40"/>
      <c r="E49" s="39">
        <v>10</v>
      </c>
      <c r="F49" s="48"/>
      <c r="G49" s="52"/>
      <c r="H49" s="257" t="s">
        <v>292</v>
      </c>
      <c r="I49" s="258"/>
      <c r="J49" s="258"/>
      <c r="K49" s="301" t="s">
        <v>127</v>
      </c>
      <c r="L49" s="301"/>
      <c r="M49" s="301"/>
      <c r="N49" s="301"/>
      <c r="O49" s="302"/>
      <c r="Y49" s="52"/>
    </row>
    <row r="50" spans="1:33">
      <c r="A50" s="37"/>
      <c r="B50" s="44" t="s">
        <v>232</v>
      </c>
      <c r="C50" s="40"/>
      <c r="D50" s="40"/>
      <c r="E50" s="39">
        <v>3.5</v>
      </c>
      <c r="F50" s="48"/>
      <c r="G50" s="52"/>
      <c r="H50" s="250"/>
      <c r="I50" s="250"/>
      <c r="J50" s="250"/>
      <c r="K50" s="67" t="s">
        <v>293</v>
      </c>
      <c r="L50" s="64"/>
      <c r="M50" s="64"/>
      <c r="N50" s="64"/>
      <c r="O50" s="64"/>
      <c r="Y50" s="52"/>
      <c r="Z50" s="328"/>
      <c r="AA50" s="329"/>
      <c r="AB50" s="329"/>
      <c r="AC50" s="330" t="s">
        <v>226</v>
      </c>
      <c r="AD50" s="331"/>
      <c r="AE50" s="331"/>
      <c r="AF50" s="331"/>
      <c r="AG50" s="331"/>
    </row>
    <row r="51" spans="1:33">
      <c r="A51" s="37"/>
      <c r="B51" s="261"/>
      <c r="C51" s="262"/>
      <c r="D51" s="262"/>
      <c r="E51" s="40"/>
      <c r="F51" s="48"/>
      <c r="G51" s="52"/>
      <c r="H51" s="308"/>
      <c r="I51" s="308"/>
      <c r="J51" s="308"/>
      <c r="K51" s="67" t="s">
        <v>294</v>
      </c>
      <c r="Y51" s="52"/>
      <c r="Z51" s="257" t="s">
        <v>292</v>
      </c>
      <c r="AA51" s="258"/>
      <c r="AB51" s="258"/>
      <c r="AC51" s="301" t="s">
        <v>127</v>
      </c>
      <c r="AD51" s="301"/>
      <c r="AE51" s="301"/>
      <c r="AF51" s="301"/>
      <c r="AG51" s="302"/>
    </row>
    <row r="52" spans="1:33" ht="15" customHeight="1">
      <c r="A52" s="37"/>
      <c r="B52" s="285" t="s">
        <v>3</v>
      </c>
      <c r="C52" s="285"/>
      <c r="D52" s="285"/>
      <c r="E52" s="285"/>
      <c r="F52" s="48"/>
      <c r="G52" s="52"/>
      <c r="Y52" s="52"/>
      <c r="Z52" s="250"/>
      <c r="AA52" s="250"/>
      <c r="AB52" s="250"/>
      <c r="AC52" s="67" t="s">
        <v>293</v>
      </c>
      <c r="AD52" s="64"/>
      <c r="AE52" s="64"/>
      <c r="AF52" s="64"/>
      <c r="AG52" s="64"/>
    </row>
    <row r="53" spans="1:33">
      <c r="A53" s="37"/>
      <c r="B53" s="283" t="s">
        <v>187</v>
      </c>
      <c r="C53" s="283"/>
      <c r="D53" s="283"/>
      <c r="E53" s="283"/>
      <c r="F53" s="48"/>
      <c r="G53" s="52"/>
      <c r="H53" s="309"/>
      <c r="I53" s="310"/>
      <c r="J53" s="310"/>
      <c r="K53" s="317" t="s">
        <v>130</v>
      </c>
      <c r="L53" s="318"/>
      <c r="M53" s="318"/>
      <c r="N53" s="318"/>
      <c r="O53" s="318"/>
      <c r="Y53" s="52"/>
      <c r="Z53" s="308"/>
      <c r="AA53" s="308"/>
      <c r="AB53" s="308"/>
      <c r="AC53" s="67" t="s">
        <v>294</v>
      </c>
    </row>
    <row r="54" spans="1:33">
      <c r="A54" s="37"/>
      <c r="B54" s="283" t="s">
        <v>188</v>
      </c>
      <c r="C54" s="284"/>
      <c r="D54" s="284"/>
      <c r="E54" s="284"/>
      <c r="F54" s="48"/>
      <c r="G54" s="52"/>
      <c r="H54" s="249" t="s">
        <v>295</v>
      </c>
      <c r="I54" s="258"/>
      <c r="J54" s="258"/>
      <c r="K54" s="301" t="s">
        <v>131</v>
      </c>
      <c r="L54" s="301"/>
      <c r="M54" s="301"/>
      <c r="N54" s="301"/>
      <c r="O54" s="302"/>
      <c r="Y54" s="52"/>
    </row>
    <row r="55" spans="1:33">
      <c r="A55" s="37"/>
      <c r="B55" s="283" t="s">
        <v>190</v>
      </c>
      <c r="C55" s="284"/>
      <c r="D55" s="284"/>
      <c r="E55" s="284"/>
      <c r="F55" s="48"/>
      <c r="G55" s="52"/>
      <c r="H55" s="250"/>
      <c r="I55" s="250"/>
      <c r="J55" s="250"/>
      <c r="K55" s="67" t="s">
        <v>132</v>
      </c>
      <c r="L55" s="190"/>
      <c r="M55" s="190"/>
      <c r="N55" s="190"/>
      <c r="O55" s="190"/>
      <c r="Y55" s="52"/>
      <c r="Z55" s="328"/>
      <c r="AA55" s="329"/>
      <c r="AB55" s="329"/>
      <c r="AC55" s="330" t="s">
        <v>130</v>
      </c>
      <c r="AD55" s="331"/>
      <c r="AE55" s="331"/>
      <c r="AF55" s="331"/>
      <c r="AG55" s="331"/>
    </row>
    <row r="56" spans="1:33" ht="15" customHeight="1">
      <c r="A56" s="37"/>
      <c r="B56" s="294" t="s">
        <v>195</v>
      </c>
      <c r="C56" s="294"/>
      <c r="D56" s="294"/>
      <c r="E56" s="294"/>
      <c r="F56" s="48"/>
      <c r="G56" s="52"/>
      <c r="H56" s="300"/>
      <c r="I56" s="300"/>
      <c r="J56" s="300"/>
      <c r="K56" s="303" t="s">
        <v>235</v>
      </c>
      <c r="L56" s="304"/>
      <c r="M56" s="304"/>
      <c r="N56" s="304"/>
      <c r="O56" s="304"/>
      <c r="Y56" s="52"/>
      <c r="Z56" s="249" t="s">
        <v>296</v>
      </c>
      <c r="AA56" s="258"/>
      <c r="AB56" s="258"/>
      <c r="AC56" s="301" t="s">
        <v>131</v>
      </c>
      <c r="AD56" s="301"/>
      <c r="AE56" s="301"/>
      <c r="AF56" s="301"/>
      <c r="AG56" s="302"/>
    </row>
    <row r="57" spans="1:33">
      <c r="A57" s="37"/>
      <c r="B57" s="288"/>
      <c r="C57" s="288"/>
      <c r="D57" s="288"/>
      <c r="E57" s="288"/>
      <c r="F57" s="48"/>
      <c r="G57" s="52"/>
      <c r="Y57" s="52"/>
      <c r="Z57" s="250"/>
      <c r="AA57" s="250"/>
      <c r="AB57" s="250"/>
      <c r="AC57" s="67" t="s">
        <v>132</v>
      </c>
      <c r="AD57" s="190"/>
      <c r="AE57" s="190"/>
      <c r="AF57" s="190"/>
      <c r="AG57" s="190"/>
    </row>
    <row r="58" spans="1:33">
      <c r="A58" s="37"/>
      <c r="B58" s="289">
        <f ca="1">NOW()</f>
        <v>46069.632974189815</v>
      </c>
      <c r="C58" s="289"/>
      <c r="D58" s="71"/>
      <c r="E58" s="71"/>
      <c r="F58" s="48"/>
      <c r="G58" s="52"/>
      <c r="Y58" s="52"/>
      <c r="Z58" s="300"/>
      <c r="AA58" s="300"/>
      <c r="AB58" s="300"/>
      <c r="AC58" s="303" t="s">
        <v>235</v>
      </c>
      <c r="AD58" s="304"/>
      <c r="AE58" s="304"/>
      <c r="AF58" s="304"/>
      <c r="AG58" s="304"/>
    </row>
    <row r="59" spans="1:33" ht="8.1" customHeight="1">
      <c r="A59" s="37"/>
      <c r="B59" s="289"/>
      <c r="C59" s="289"/>
      <c r="D59" s="196"/>
      <c r="E59" s="196"/>
      <c r="F59" s="48"/>
      <c r="G59" s="52" t="s">
        <v>261</v>
      </c>
      <c r="H59" s="192"/>
      <c r="I59" s="192"/>
      <c r="J59" s="192"/>
      <c r="K59" s="192"/>
      <c r="L59" s="193"/>
      <c r="M59" s="193"/>
      <c r="N59" s="193"/>
      <c r="O59" s="193"/>
      <c r="Y59" s="52" t="s">
        <v>261</v>
      </c>
      <c r="Z59" s="192"/>
      <c r="AA59" s="192"/>
      <c r="AB59" s="192"/>
      <c r="AC59" s="192"/>
      <c r="AD59" s="193"/>
      <c r="AE59" s="193"/>
      <c r="AF59" s="193"/>
      <c r="AG59" s="193"/>
    </row>
    <row r="60" spans="1:33" ht="8.1" customHeight="1">
      <c r="A60" s="37"/>
      <c r="B60" s="289"/>
      <c r="C60" s="289"/>
      <c r="D60" s="69"/>
      <c r="E60" s="70"/>
      <c r="F60" s="35"/>
      <c r="G60" s="72"/>
      <c r="H60" s="72"/>
      <c r="I60" s="72"/>
      <c r="J60" s="72"/>
      <c r="K60" s="305"/>
      <c r="L60" s="305"/>
      <c r="M60" s="305"/>
      <c r="N60" s="305"/>
      <c r="O60" s="305"/>
    </row>
  </sheetData>
  <mergeCells count="126">
    <mergeCell ref="Z37:AB37"/>
    <mergeCell ref="AC37:AG37"/>
    <mergeCell ref="Z38:AB40"/>
    <mergeCell ref="AC38:AG38"/>
    <mergeCell ref="AC40:AG40"/>
    <mergeCell ref="Z41:AB42"/>
    <mergeCell ref="AC41:AG41"/>
    <mergeCell ref="AC42:AG42"/>
    <mergeCell ref="Z33:AB33"/>
    <mergeCell ref="Z51:AB53"/>
    <mergeCell ref="AC51:AG51"/>
    <mergeCell ref="Z55:AB55"/>
    <mergeCell ref="AC55:AG55"/>
    <mergeCell ref="Z56:AB58"/>
    <mergeCell ref="AC56:AG56"/>
    <mergeCell ref="AC58:AG58"/>
    <mergeCell ref="Z44:AB46"/>
    <mergeCell ref="AC44:AG44"/>
    <mergeCell ref="AC45:AG48"/>
    <mergeCell ref="Z47:AB48"/>
    <mergeCell ref="Z50:AB50"/>
    <mergeCell ref="AC50:AG50"/>
    <mergeCell ref="Z24:AB24"/>
    <mergeCell ref="Z25:AB25"/>
    <mergeCell ref="Z26:AB26"/>
    <mergeCell ref="Z27:AB27"/>
    <mergeCell ref="Z29:AB32"/>
    <mergeCell ref="AC29:AG29"/>
    <mergeCell ref="AC30:AG30"/>
    <mergeCell ref="AC31:AG31"/>
    <mergeCell ref="AC32:AG32"/>
    <mergeCell ref="Z3:AB5"/>
    <mergeCell ref="AC3:AG3"/>
    <mergeCell ref="AC4:AD7"/>
    <mergeCell ref="AE4:AG7"/>
    <mergeCell ref="Z6:AB6"/>
    <mergeCell ref="Z7:AB7"/>
    <mergeCell ref="H45:J46"/>
    <mergeCell ref="H42:J44"/>
    <mergeCell ref="H12:J16"/>
    <mergeCell ref="Z9:AB10"/>
    <mergeCell ref="AC9:AG10"/>
    <mergeCell ref="Z12:AB16"/>
    <mergeCell ref="AC12:AG12"/>
    <mergeCell ref="AC13:AG27"/>
    <mergeCell ref="Z17:AB19"/>
    <mergeCell ref="Z20:AB20"/>
    <mergeCell ref="Z21:AB21"/>
    <mergeCell ref="Z22:AB22"/>
    <mergeCell ref="Z23:AB23"/>
    <mergeCell ref="AC33:AG33"/>
    <mergeCell ref="Z34:AB34"/>
    <mergeCell ref="AC34:AG34"/>
    <mergeCell ref="Z35:AB35"/>
    <mergeCell ref="AC35:AG35"/>
    <mergeCell ref="K53:O53"/>
    <mergeCell ref="H48:J48"/>
    <mergeCell ref="K48:O48"/>
    <mergeCell ref="H36:J36"/>
    <mergeCell ref="K13:O27"/>
    <mergeCell ref="K6:L9"/>
    <mergeCell ref="M6:O9"/>
    <mergeCell ref="K36:O36"/>
    <mergeCell ref="H5:J7"/>
    <mergeCell ref="H28:J31"/>
    <mergeCell ref="H37:J39"/>
    <mergeCell ref="H24:J24"/>
    <mergeCell ref="H34:J34"/>
    <mergeCell ref="K34:O34"/>
    <mergeCell ref="K37:O37"/>
    <mergeCell ref="H40:J41"/>
    <mergeCell ref="K38:O38"/>
    <mergeCell ref="B1:E3"/>
    <mergeCell ref="K1:O1"/>
    <mergeCell ref="K5:O5"/>
    <mergeCell ref="B4:E5"/>
    <mergeCell ref="B6:E13"/>
    <mergeCell ref="H8:J8"/>
    <mergeCell ref="H9:J9"/>
    <mergeCell ref="H10:J11"/>
    <mergeCell ref="K10:O11"/>
    <mergeCell ref="K12:O12"/>
    <mergeCell ref="H4:J4"/>
    <mergeCell ref="K4:O4"/>
    <mergeCell ref="B14:D14"/>
    <mergeCell ref="B15:E19"/>
    <mergeCell ref="H17:J19"/>
    <mergeCell ref="H20:J20"/>
    <mergeCell ref="B20:E20"/>
    <mergeCell ref="B21:D21"/>
    <mergeCell ref="H21:J21"/>
    <mergeCell ref="H22:J22"/>
    <mergeCell ref="H23:J23"/>
    <mergeCell ref="B42:E42"/>
    <mergeCell ref="K42:O42"/>
    <mergeCell ref="K43:O46"/>
    <mergeCell ref="B48:E48"/>
    <mergeCell ref="B51:D51"/>
    <mergeCell ref="B52:E52"/>
    <mergeCell ref="K49:O49"/>
    <mergeCell ref="B53:E53"/>
    <mergeCell ref="B25:D25"/>
    <mergeCell ref="H25:J25"/>
    <mergeCell ref="H26:J26"/>
    <mergeCell ref="H27:J27"/>
    <mergeCell ref="B30:D30"/>
    <mergeCell ref="K28:O28"/>
    <mergeCell ref="K29:O29"/>
    <mergeCell ref="K30:O30"/>
    <mergeCell ref="B33:D33"/>
    <mergeCell ref="K31:O31"/>
    <mergeCell ref="H32:J32"/>
    <mergeCell ref="K32:O32"/>
    <mergeCell ref="H33:J33"/>
    <mergeCell ref="K33:O33"/>
    <mergeCell ref="H49:J51"/>
    <mergeCell ref="H53:J53"/>
    <mergeCell ref="B54:E54"/>
    <mergeCell ref="B55:E55"/>
    <mergeCell ref="B56:E56"/>
    <mergeCell ref="H54:J56"/>
    <mergeCell ref="K54:O54"/>
    <mergeCell ref="B57:E57"/>
    <mergeCell ref="B58:C60"/>
    <mergeCell ref="K56:O56"/>
    <mergeCell ref="K60:O60"/>
  </mergeCells>
  <conditionalFormatting sqref="E22:E41 E49:E50 T43:T44 T46:T47 E43:E47">
    <cfRule type="dataBar" priority="1">
      <dataBar showValue="0">
        <cfvo type="num" val="0"/>
        <cfvo type="num" val="10"/>
        <color theme="4" tint="0.39997558519241921"/>
      </dataBar>
      <extLst>
        <ext xmlns:x14="http://schemas.microsoft.com/office/spreadsheetml/2009/9/main" uri="{B025F937-C7B1-47D3-B67F-A62EFF666E3E}">
          <x14:id>{C6ED7659-30F6-4684-A781-AEB4B63DEE71}</x14:id>
        </ext>
      </extLst>
    </cfRule>
  </conditionalFormatting>
  <hyperlinks>
    <hyperlink ref="B53" r:id="rId1" xr:uid="{C617502A-DFA0-448A-81EC-A4F611BD5B00}"/>
    <hyperlink ref="B54" r:id="rId2" xr:uid="{A45B8B4B-5A23-44A8-9CC1-040001CD8219}"/>
    <hyperlink ref="B55" r:id="rId3" xr:uid="{763BF86F-C30F-4D6A-AE04-06AE992C9A43}"/>
    <hyperlink ref="H20:J20" r:id="rId4" display="http://www.sunbird.lk/" xr:uid="{601D2F77-E757-47BA-8D3E-2AB5405DD29F}"/>
    <hyperlink ref="K56" r:id="rId5" display="jserranopaul@gmail.com " xr:uid="{46D3EF11-EA6E-4A9A-8D83-7F35899FAA84}"/>
    <hyperlink ref="K56:N56" r:id="rId6" tooltip="jorge.paul@wbscodingschool.com" display="jorge.paul@wbscodingschool.com" xr:uid="{84DF9134-0D29-4CB7-897D-034C10A4140D}"/>
    <hyperlink ref="K39" r:id="rId7" xr:uid="{2D8172D9-0953-42A6-9D0F-8B2B2C2DD299}"/>
    <hyperlink ref="K40" r:id="rId8" display="http://vrw-gh.github.io/final-project-wd020" xr:uid="{2B073776-B0D4-43AB-89B8-F73ECCD5577B}"/>
    <hyperlink ref="K40:O40" r:id="rId9" tooltip="Sanskara Landing Page (React.js)" display="https://vrw-gh.github.io/sanskara" xr:uid="{020B00F0-0CDE-4279-A36A-BA1C91D0AE25}"/>
    <hyperlink ref="K41" r:id="rId10" display="http://vrw-gh.github.io/final-project-wd020" xr:uid="{3BEC093D-4154-4705-B265-370E6DBC348B}"/>
    <hyperlink ref="K41:O41" r:id="rId11" tooltip="Backend API (Node.js)" display="https://vrw-gh.github.io/sharemyfood-backend" xr:uid="{D9EA0396-D57E-499F-86FC-2BD91A1C2E4F}"/>
    <hyperlink ref="Z20:AB20" r:id="rId12" display="http://www.sunbird.lk/" xr:uid="{D5F86FA0-9063-4FD0-84B0-3AC8300695BE}"/>
    <hyperlink ref="AC58" r:id="rId13" display="jserranopaul@gmail.com " xr:uid="{A63B3A81-8456-443A-BB33-B4B8740B2DBF}"/>
    <hyperlink ref="AC58:AF58" r:id="rId14" tooltip="jorge.paul@wbscodingschool.com" display="jorge.paul@wbscodingschool.com" xr:uid="{AA65DBEA-240A-4E84-BFA3-E8163148A4C5}"/>
    <hyperlink ref="AC40" r:id="rId15" display="http://vrw-gh.github.io/final-project-wd020" xr:uid="{226AFD90-5EFA-41CA-ACA4-E5FBBBBBEBF8}"/>
    <hyperlink ref="AC41" r:id="rId16" display="http://vrw-gh.github.io/final-project-wd020" xr:uid="{F4A869DF-A1AB-405F-BC86-FD83F9426817}"/>
    <hyperlink ref="AC41:AG41" r:id="rId17" display="• Sanskara Landing Page (React.js)" xr:uid="{45655011-A9CD-45F1-9BCC-B07EF8B5E120}"/>
    <hyperlink ref="AC42" r:id="rId18" display="http://vrw-gh.github.io/final-project-wd020" xr:uid="{4FF6035B-C82B-4BBE-963D-D02A000A839F}"/>
    <hyperlink ref="AC42:AG42" r:id="rId19" display="• Backend API (Node.js)" xr:uid="{12C5D94D-1778-4D38-BFF6-6E2AA37A8F04}"/>
    <hyperlink ref="AC40:AG40" r:id="rId20" display="• Share My Food App (Full-Stack App)" xr:uid="{B31A1BF9-3B9D-48B2-B4D8-6EA5C7932E65}"/>
    <hyperlink ref="K39:O39" r:id="rId21" tooltip="Share My Food App (Full-Stack App)" display="http://vrw-gh.github.io/final-project-wd020" xr:uid="{41132008-4818-4EB8-B3CD-2D31599AFAFC}"/>
  </hyperlinks>
  <printOptions horizontalCentered="1" verticalCentered="1"/>
  <pageMargins left="0" right="0" top="0" bottom="0" header="0" footer="0"/>
  <pageSetup paperSize="9" fitToHeight="0" orientation="portrait" r:id="rId22"/>
  <drawing r:id="rId23"/>
  <extLst>
    <ext xmlns:x14="http://schemas.microsoft.com/office/spreadsheetml/2009/9/main" uri="{78C0D931-6437-407d-A8EE-F0AAD7539E65}">
      <x14:conditionalFormattings>
        <x14:conditionalFormatting xmlns:xm="http://schemas.microsoft.com/office/excel/2006/main">
          <x14:cfRule type="dataBar" id="{C6ED7659-30F6-4684-A781-AEB4B63DEE71}">
            <x14:dataBar minLength="0" maxLength="100" border="1" gradient="0">
              <x14:cfvo type="num">
                <xm:f>0</xm:f>
              </x14:cfvo>
              <x14:cfvo type="num">
                <xm:f>10</xm:f>
              </x14:cfvo>
              <x14:borderColor theme="4" tint="-0.249977111117893"/>
              <x14:negativeFillColor rgb="FFFF0000"/>
              <x14:axisColor rgb="FF000000"/>
            </x14:dataBar>
          </x14:cfRule>
          <xm:sqref>E22:E41 E49:E50 T43:T44 T46:T47 E43:E47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B301-9DA1-4469-A178-1ABD50E320E7}">
  <dimension ref="A1:T60"/>
  <sheetViews>
    <sheetView topLeftCell="A28" workbookViewId="0">
      <selection activeCell="H5" sqref="H5:J7"/>
    </sheetView>
  </sheetViews>
  <sheetFormatPr defaultRowHeight="15"/>
  <cols>
    <col min="1" max="1" width="2.28515625" customWidth="1"/>
    <col min="4" max="4" width="5.28515625" customWidth="1"/>
    <col min="5" max="5" width="12.85546875" customWidth="1"/>
    <col min="6" max="7" width="0.85546875" customWidth="1"/>
    <col min="8" max="8" width="9.28515625" customWidth="1"/>
    <col min="9" max="9" width="6.5703125" customWidth="1"/>
    <col min="10" max="14" width="7.7109375" customWidth="1"/>
    <col min="15" max="15" width="8.85546875" customWidth="1"/>
  </cols>
  <sheetData>
    <row r="1" spans="1:15" ht="12" customHeight="1">
      <c r="A1" s="34"/>
      <c r="B1" s="299" t="s">
        <v>137</v>
      </c>
      <c r="C1" s="299"/>
      <c r="D1" s="299"/>
      <c r="E1" s="299"/>
      <c r="F1" s="35"/>
      <c r="G1" s="87"/>
      <c r="H1" s="35"/>
      <c r="I1" s="35"/>
      <c r="J1" s="35"/>
      <c r="K1" s="259"/>
      <c r="L1" s="260"/>
      <c r="M1" s="260"/>
      <c r="N1" s="260"/>
      <c r="O1" s="260"/>
    </row>
    <row r="2" spans="1:15" ht="6" customHeight="1">
      <c r="A2" s="36"/>
      <c r="B2" s="299"/>
      <c r="C2" s="299"/>
      <c r="D2" s="299"/>
      <c r="E2" s="299"/>
      <c r="F2" s="81"/>
      <c r="G2" s="93" t="s">
        <v>261</v>
      </c>
      <c r="H2" s="180"/>
      <c r="I2" s="180"/>
      <c r="J2" s="180"/>
      <c r="K2" s="341"/>
      <c r="L2" s="341"/>
      <c r="M2" s="341"/>
      <c r="N2" s="341"/>
      <c r="O2" s="341"/>
    </row>
    <row r="3" spans="1:15" ht="15" customHeight="1">
      <c r="A3" s="36"/>
      <c r="B3" s="299"/>
      <c r="C3" s="299"/>
      <c r="D3" s="299"/>
      <c r="E3" s="299"/>
      <c r="F3" s="81"/>
      <c r="K3" s="342"/>
      <c r="L3" s="342"/>
      <c r="M3" s="342"/>
      <c r="N3" s="342"/>
      <c r="O3" s="342"/>
    </row>
    <row r="4" spans="1:15">
      <c r="A4" s="36"/>
      <c r="B4" s="265" t="s">
        <v>1</v>
      </c>
      <c r="C4" s="265"/>
      <c r="D4" s="265"/>
      <c r="E4" s="265"/>
      <c r="F4" s="81"/>
      <c r="H4" s="309"/>
      <c r="I4" s="310"/>
      <c r="J4" s="310"/>
      <c r="K4" s="317" t="s">
        <v>70</v>
      </c>
      <c r="L4" s="318"/>
      <c r="M4" s="318"/>
      <c r="N4" s="318"/>
      <c r="O4" s="318"/>
    </row>
    <row r="5" spans="1:15">
      <c r="A5" s="36"/>
      <c r="B5" s="265"/>
      <c r="C5" s="265"/>
      <c r="D5" s="265"/>
      <c r="E5" s="265"/>
      <c r="F5" s="81"/>
      <c r="H5" s="249" t="s">
        <v>280</v>
      </c>
      <c r="I5" s="249"/>
      <c r="J5" s="249"/>
      <c r="K5" s="301" t="s">
        <v>71</v>
      </c>
      <c r="L5" s="301"/>
      <c r="M5" s="301"/>
      <c r="N5" s="301"/>
      <c r="O5" s="302"/>
    </row>
    <row r="6" spans="1:15">
      <c r="A6" s="36"/>
      <c r="B6" s="312" t="s">
        <v>297</v>
      </c>
      <c r="C6" s="313"/>
      <c r="D6" s="313"/>
      <c r="E6" s="313"/>
      <c r="F6" s="81"/>
      <c r="H6" s="269"/>
      <c r="I6" s="269"/>
      <c r="J6" s="269"/>
      <c r="K6" s="323" t="s">
        <v>298</v>
      </c>
      <c r="L6" s="323"/>
      <c r="M6" s="323"/>
      <c r="N6" s="323"/>
      <c r="O6" s="323"/>
    </row>
    <row r="7" spans="1:15">
      <c r="A7" s="36"/>
      <c r="B7" s="313"/>
      <c r="C7" s="313"/>
      <c r="D7" s="313"/>
      <c r="E7" s="313"/>
      <c r="F7" s="81"/>
      <c r="H7" s="308"/>
      <c r="I7" s="308"/>
      <c r="J7" s="308"/>
      <c r="K7" s="75" t="s">
        <v>76</v>
      </c>
      <c r="L7" s="74"/>
      <c r="M7" s="74"/>
      <c r="N7" s="74"/>
      <c r="O7" s="74"/>
    </row>
    <row r="8" spans="1:15">
      <c r="A8" s="36"/>
      <c r="B8" s="313"/>
      <c r="C8" s="313"/>
      <c r="D8" s="313"/>
      <c r="E8" s="313"/>
      <c r="F8" s="81"/>
      <c r="H8" s="251" t="s">
        <v>299</v>
      </c>
      <c r="I8" s="251"/>
      <c r="J8" s="251"/>
      <c r="K8" s="75" t="s">
        <v>284</v>
      </c>
      <c r="L8" s="74"/>
      <c r="M8" s="74"/>
      <c r="N8" s="74"/>
      <c r="O8" s="74"/>
    </row>
    <row r="9" spans="1:15">
      <c r="A9" s="36"/>
      <c r="B9" s="313"/>
      <c r="C9" s="313"/>
      <c r="D9" s="313"/>
      <c r="E9" s="313"/>
      <c r="F9" s="81"/>
      <c r="H9" s="252"/>
      <c r="I9" s="252"/>
      <c r="J9" s="252"/>
      <c r="K9" s="75" t="s">
        <v>286</v>
      </c>
      <c r="L9" s="74"/>
      <c r="M9" s="74"/>
      <c r="N9" s="74"/>
      <c r="O9" s="74"/>
    </row>
    <row r="10" spans="1:15">
      <c r="A10" s="36"/>
      <c r="B10" s="313"/>
      <c r="C10" s="313"/>
      <c r="D10" s="313"/>
      <c r="E10" s="313"/>
      <c r="F10" s="81"/>
      <c r="H10" s="337" t="s">
        <v>288</v>
      </c>
      <c r="I10" s="338"/>
      <c r="J10" s="338"/>
      <c r="K10" s="339" t="s">
        <v>78</v>
      </c>
      <c r="L10" s="339"/>
      <c r="M10" s="339"/>
      <c r="N10" s="339"/>
      <c r="O10" s="340"/>
    </row>
    <row r="11" spans="1:15">
      <c r="A11" s="36"/>
      <c r="B11" s="313"/>
      <c r="C11" s="313"/>
      <c r="D11" s="313"/>
      <c r="E11" s="313"/>
      <c r="F11" s="81"/>
      <c r="H11" s="250"/>
      <c r="I11" s="250"/>
      <c r="J11" s="250"/>
      <c r="K11" s="266" t="s">
        <v>259</v>
      </c>
      <c r="L11" s="266"/>
      <c r="M11" s="266"/>
      <c r="N11" s="266"/>
      <c r="O11" s="266"/>
    </row>
    <row r="12" spans="1:15" ht="15" customHeight="1">
      <c r="A12" s="36"/>
      <c r="B12" s="313"/>
      <c r="C12" s="313"/>
      <c r="D12" s="313"/>
      <c r="E12" s="313"/>
      <c r="F12" s="81"/>
      <c r="H12" s="322"/>
      <c r="I12" s="322"/>
      <c r="J12" s="322"/>
      <c r="K12" s="266"/>
      <c r="L12" s="266"/>
      <c r="M12" s="266"/>
      <c r="N12" s="266"/>
      <c r="O12" s="266"/>
    </row>
    <row r="13" spans="1:15" ht="15" customHeight="1">
      <c r="A13" s="36"/>
      <c r="B13" s="313"/>
      <c r="C13" s="313"/>
      <c r="D13" s="313"/>
      <c r="E13" s="313"/>
      <c r="F13" s="81"/>
      <c r="H13" s="251" t="s">
        <v>291</v>
      </c>
      <c r="I13" s="251"/>
      <c r="J13" s="251"/>
      <c r="K13" s="266"/>
      <c r="L13" s="266"/>
      <c r="M13" s="266"/>
      <c r="N13" s="266"/>
      <c r="O13" s="266"/>
    </row>
    <row r="14" spans="1:15">
      <c r="A14" s="36"/>
      <c r="B14" s="261" t="s">
        <v>272</v>
      </c>
      <c r="C14" s="262"/>
      <c r="D14" s="262"/>
      <c r="E14" s="40"/>
      <c r="F14" s="82"/>
      <c r="H14" s="254"/>
      <c r="I14" s="254"/>
      <c r="J14" s="254"/>
      <c r="K14" s="266"/>
      <c r="L14" s="266"/>
      <c r="M14" s="266"/>
      <c r="N14" s="266"/>
      <c r="O14" s="266"/>
    </row>
    <row r="15" spans="1:15" ht="15" customHeight="1">
      <c r="A15" s="36"/>
      <c r="B15" s="298" t="s">
        <v>273</v>
      </c>
      <c r="C15" s="298"/>
      <c r="D15" s="298"/>
      <c r="E15" s="298"/>
      <c r="F15" s="82"/>
    </row>
    <row r="16" spans="1:15">
      <c r="A16" s="36"/>
      <c r="B16" s="298"/>
      <c r="C16" s="298"/>
      <c r="D16" s="298"/>
      <c r="E16" s="298"/>
      <c r="F16" s="81"/>
      <c r="H16" s="309"/>
      <c r="I16" s="310"/>
      <c r="J16" s="310"/>
      <c r="K16" s="317" t="s">
        <v>91</v>
      </c>
      <c r="L16" s="318"/>
      <c r="M16" s="318"/>
      <c r="N16" s="318"/>
      <c r="O16" s="318"/>
    </row>
    <row r="17" spans="1:15" ht="15" customHeight="1">
      <c r="A17" s="36"/>
      <c r="B17" s="298"/>
      <c r="C17" s="298"/>
      <c r="D17" s="298"/>
      <c r="E17" s="298"/>
      <c r="F17" s="81"/>
      <c r="H17" s="258" t="s">
        <v>300</v>
      </c>
      <c r="I17" s="258"/>
      <c r="J17" s="258"/>
      <c r="K17" s="301" t="s">
        <v>263</v>
      </c>
      <c r="L17" s="301"/>
      <c r="M17" s="301"/>
      <c r="N17" s="301"/>
      <c r="O17" s="311"/>
    </row>
    <row r="18" spans="1:15">
      <c r="A18" s="36"/>
      <c r="B18" s="298"/>
      <c r="C18" s="298"/>
      <c r="D18" s="298"/>
      <c r="E18" s="298"/>
      <c r="F18" s="81"/>
      <c r="H18" s="258"/>
      <c r="I18" s="258"/>
      <c r="J18" s="258"/>
      <c r="K18" s="266" t="s">
        <v>264</v>
      </c>
      <c r="L18" s="266"/>
      <c r="M18" s="266" t="s">
        <v>265</v>
      </c>
      <c r="N18" s="266"/>
      <c r="O18" s="320"/>
    </row>
    <row r="19" spans="1:15" ht="15" customHeight="1">
      <c r="A19" s="36"/>
      <c r="B19" s="298"/>
      <c r="C19" s="298"/>
      <c r="D19" s="298"/>
      <c r="E19" s="298"/>
      <c r="F19" s="81"/>
      <c r="H19" s="258"/>
      <c r="I19" s="258"/>
      <c r="J19" s="258"/>
      <c r="K19" s="266"/>
      <c r="L19" s="266"/>
      <c r="M19" s="266"/>
      <c r="N19" s="266"/>
      <c r="O19" s="320"/>
    </row>
    <row r="20" spans="1:15">
      <c r="A20" s="36"/>
      <c r="B20" s="306" t="s">
        <v>12</v>
      </c>
      <c r="C20" s="306"/>
      <c r="D20" s="306"/>
      <c r="E20" s="306"/>
      <c r="F20" s="81"/>
      <c r="H20" s="321"/>
      <c r="I20" s="321"/>
      <c r="J20" s="321"/>
      <c r="K20" s="266"/>
      <c r="L20" s="266"/>
      <c r="M20" s="266"/>
      <c r="N20" s="266"/>
      <c r="O20" s="320"/>
    </row>
    <row r="21" spans="1:15">
      <c r="A21" s="36"/>
      <c r="B21" s="261" t="s">
        <v>275</v>
      </c>
      <c r="C21" s="262"/>
      <c r="D21" s="262"/>
      <c r="E21" s="40"/>
      <c r="F21" s="83"/>
      <c r="H21" s="251"/>
      <c r="I21" s="251"/>
      <c r="J21" s="251"/>
      <c r="K21" s="268"/>
      <c r="L21" s="268"/>
      <c r="M21" s="268"/>
      <c r="N21" s="268"/>
      <c r="O21" s="320"/>
    </row>
    <row r="22" spans="1:15">
      <c r="A22" s="36"/>
      <c r="B22" s="44" t="s">
        <v>160</v>
      </c>
      <c r="C22" s="36"/>
      <c r="D22" s="36"/>
      <c r="E22" s="45">
        <v>7</v>
      </c>
      <c r="F22" s="83"/>
      <c r="H22" s="332" t="s">
        <v>267</v>
      </c>
      <c r="I22" s="333"/>
      <c r="J22" s="333"/>
      <c r="K22" s="314" t="s">
        <v>301</v>
      </c>
      <c r="L22" s="315"/>
      <c r="M22" s="315"/>
      <c r="N22" s="315"/>
      <c r="O22" s="315"/>
    </row>
    <row r="23" spans="1:15" ht="15" customHeight="1">
      <c r="A23" s="36"/>
      <c r="B23" s="44" t="s">
        <v>161</v>
      </c>
      <c r="C23" s="36"/>
      <c r="D23" s="36"/>
      <c r="E23" s="39">
        <v>4</v>
      </c>
      <c r="F23" s="83"/>
      <c r="H23" s="250"/>
      <c r="I23" s="250"/>
      <c r="J23" s="250"/>
      <c r="K23" s="316"/>
      <c r="L23" s="316"/>
      <c r="M23" s="316"/>
      <c r="N23" s="316"/>
      <c r="O23" s="316"/>
    </row>
    <row r="24" spans="1:15">
      <c r="A24" s="36"/>
      <c r="B24" s="44" t="s">
        <v>302</v>
      </c>
      <c r="C24" s="36"/>
      <c r="D24" s="36"/>
      <c r="E24" s="39">
        <v>1</v>
      </c>
      <c r="F24" s="83"/>
      <c r="H24" s="249" t="s">
        <v>269</v>
      </c>
      <c r="I24" s="249"/>
      <c r="J24" s="249"/>
      <c r="K24" s="301" t="s">
        <v>270</v>
      </c>
      <c r="L24" s="301"/>
      <c r="M24" s="301"/>
      <c r="N24" s="301"/>
      <c r="O24" s="302"/>
    </row>
    <row r="25" spans="1:15">
      <c r="A25" s="36"/>
      <c r="B25" s="261" t="s">
        <v>303</v>
      </c>
      <c r="C25" s="262"/>
      <c r="D25" s="262"/>
      <c r="E25" s="40"/>
      <c r="F25" s="83"/>
      <c r="H25" s="249"/>
      <c r="I25" s="249"/>
      <c r="J25" s="249"/>
      <c r="K25" s="266" t="s">
        <v>304</v>
      </c>
      <c r="L25" s="266"/>
      <c r="M25" s="266"/>
      <c r="N25" s="266"/>
      <c r="O25" s="266"/>
    </row>
    <row r="26" spans="1:15">
      <c r="A26" s="36"/>
      <c r="B26" s="44" t="s">
        <v>164</v>
      </c>
      <c r="C26" s="36"/>
      <c r="D26" s="36"/>
      <c r="E26" s="39">
        <v>5</v>
      </c>
      <c r="F26" s="83"/>
      <c r="H26" s="250"/>
      <c r="I26" s="250"/>
      <c r="J26" s="250"/>
      <c r="K26" s="266"/>
      <c r="L26" s="266"/>
      <c r="M26" s="266"/>
      <c r="N26" s="266"/>
      <c r="O26" s="266"/>
    </row>
    <row r="27" spans="1:15" ht="15" customHeight="1">
      <c r="A27" s="36"/>
      <c r="B27" s="44" t="s">
        <v>166</v>
      </c>
      <c r="C27" s="36"/>
      <c r="D27" s="36"/>
      <c r="E27" s="39">
        <v>4</v>
      </c>
      <c r="F27" s="83"/>
      <c r="H27" s="322"/>
      <c r="I27" s="322"/>
      <c r="J27" s="322"/>
      <c r="K27" s="266"/>
      <c r="L27" s="266"/>
      <c r="M27" s="266"/>
      <c r="N27" s="266"/>
      <c r="O27" s="266"/>
    </row>
    <row r="28" spans="1:15" ht="15" customHeight="1">
      <c r="A28" s="36"/>
      <c r="B28" s="44" t="s">
        <v>167</v>
      </c>
      <c r="C28" s="36"/>
      <c r="D28" s="36"/>
      <c r="E28" s="39">
        <v>5</v>
      </c>
      <c r="F28" s="83"/>
      <c r="H28" s="322"/>
      <c r="I28" s="322"/>
      <c r="J28" s="322"/>
      <c r="K28" s="266"/>
      <c r="L28" s="266"/>
      <c r="M28" s="266"/>
      <c r="N28" s="266"/>
      <c r="O28" s="266"/>
    </row>
    <row r="29" spans="1:15">
      <c r="A29" s="36"/>
      <c r="B29" s="44" t="s">
        <v>168</v>
      </c>
      <c r="C29" s="36"/>
      <c r="D29" s="36"/>
      <c r="E29" s="39">
        <v>3</v>
      </c>
      <c r="F29" s="84"/>
      <c r="H29" s="251" t="s">
        <v>305</v>
      </c>
      <c r="I29" s="251"/>
      <c r="J29" s="251"/>
      <c r="K29" s="319"/>
      <c r="L29" s="319"/>
      <c r="M29" s="319"/>
      <c r="N29" s="319"/>
      <c r="O29" s="319"/>
    </row>
    <row r="30" spans="1:15">
      <c r="A30" s="36"/>
      <c r="B30" s="261" t="s">
        <v>278</v>
      </c>
      <c r="C30" s="262"/>
      <c r="D30" s="262"/>
      <c r="E30" s="40"/>
      <c r="F30" s="84"/>
      <c r="H30" s="251"/>
      <c r="I30" s="251"/>
      <c r="J30" s="251"/>
      <c r="K30" s="319"/>
      <c r="L30" s="319"/>
      <c r="M30" s="319"/>
      <c r="N30" s="319"/>
      <c r="O30" s="319"/>
    </row>
    <row r="31" spans="1:15" ht="15" customHeight="1">
      <c r="A31" s="36"/>
      <c r="B31" s="44" t="s">
        <v>171</v>
      </c>
      <c r="C31" s="36"/>
      <c r="D31" s="36"/>
      <c r="E31" s="39">
        <v>5</v>
      </c>
      <c r="F31" s="85"/>
      <c r="H31" s="252"/>
      <c r="I31" s="252"/>
      <c r="J31" s="252"/>
      <c r="K31" s="319"/>
      <c r="L31" s="319"/>
      <c r="M31" s="319"/>
      <c r="N31" s="319"/>
      <c r="O31" s="319"/>
    </row>
    <row r="32" spans="1:15" ht="15" customHeight="1">
      <c r="A32" s="36"/>
      <c r="B32" s="44" t="s">
        <v>173</v>
      </c>
      <c r="C32" s="36"/>
      <c r="D32" s="36"/>
      <c r="E32" s="39">
        <v>1</v>
      </c>
      <c r="F32" s="86"/>
      <c r="H32" s="293" t="s">
        <v>156</v>
      </c>
      <c r="I32" s="293"/>
      <c r="J32" s="293"/>
      <c r="K32" s="319"/>
      <c r="L32" s="319"/>
      <c r="M32" s="319"/>
      <c r="N32" s="319"/>
      <c r="O32" s="319"/>
    </row>
    <row r="33" spans="1:20" ht="15" customHeight="1">
      <c r="A33" s="36"/>
      <c r="B33" s="261" t="s">
        <v>279</v>
      </c>
      <c r="C33" s="262"/>
      <c r="D33" s="262"/>
      <c r="E33" s="40"/>
      <c r="F33" s="86"/>
      <c r="H33" s="251"/>
      <c r="I33" s="251"/>
      <c r="J33" s="251"/>
      <c r="K33" s="319"/>
      <c r="L33" s="319"/>
      <c r="M33" s="319"/>
      <c r="N33" s="319"/>
      <c r="O33" s="319"/>
    </row>
    <row r="34" spans="1:20" ht="15" customHeight="1">
      <c r="A34" s="36"/>
      <c r="B34" s="44" t="s">
        <v>175</v>
      </c>
      <c r="C34" s="36"/>
      <c r="D34" s="36"/>
      <c r="E34" s="39">
        <v>7</v>
      </c>
      <c r="F34" s="85"/>
      <c r="H34" s="251"/>
      <c r="I34" s="251"/>
      <c r="J34" s="251"/>
      <c r="K34" s="319"/>
      <c r="L34" s="319"/>
      <c r="M34" s="319"/>
      <c r="N34" s="319"/>
      <c r="O34" s="319"/>
    </row>
    <row r="35" spans="1:20" ht="15" customHeight="1">
      <c r="A35" s="36"/>
      <c r="B35" s="44" t="s">
        <v>306</v>
      </c>
      <c r="C35" s="36"/>
      <c r="D35" s="36"/>
      <c r="E35" s="39">
        <v>4</v>
      </c>
      <c r="F35" s="86"/>
      <c r="H35" s="251"/>
      <c r="I35" s="251"/>
      <c r="J35" s="251"/>
      <c r="K35" s="319"/>
      <c r="L35" s="319"/>
      <c r="M35" s="319"/>
      <c r="N35" s="319"/>
      <c r="O35" s="319"/>
    </row>
    <row r="36" spans="1:20" ht="15" customHeight="1">
      <c r="A36" s="36"/>
      <c r="B36" s="44" t="s">
        <v>180</v>
      </c>
      <c r="C36" s="36"/>
      <c r="D36" s="36"/>
      <c r="E36" s="39">
        <v>2</v>
      </c>
      <c r="F36" s="86"/>
      <c r="H36" s="251"/>
      <c r="I36" s="251"/>
      <c r="J36" s="251"/>
      <c r="K36" s="319"/>
      <c r="L36" s="319"/>
      <c r="M36" s="319"/>
      <c r="N36" s="319"/>
      <c r="O36" s="319"/>
    </row>
    <row r="37" spans="1:20" ht="15" customHeight="1">
      <c r="A37" s="36"/>
      <c r="B37" s="44" t="s">
        <v>183</v>
      </c>
      <c r="C37" s="36"/>
      <c r="D37" s="36"/>
      <c r="E37" s="39">
        <v>4</v>
      </c>
      <c r="F37" s="86"/>
      <c r="H37" s="251"/>
      <c r="I37" s="251"/>
      <c r="J37" s="251"/>
      <c r="K37" s="319"/>
      <c r="L37" s="319"/>
      <c r="M37" s="319"/>
      <c r="N37" s="319"/>
      <c r="O37" s="319"/>
    </row>
    <row r="38" spans="1:20">
      <c r="A38" s="36"/>
      <c r="B38" s="44" t="s">
        <v>208</v>
      </c>
      <c r="C38" s="36"/>
      <c r="D38" s="35"/>
      <c r="E38" s="39">
        <v>3</v>
      </c>
      <c r="F38" s="86"/>
      <c r="H38" s="251"/>
      <c r="I38" s="251"/>
      <c r="J38" s="251"/>
      <c r="K38" s="319"/>
      <c r="L38" s="319"/>
      <c r="M38" s="319"/>
      <c r="N38" s="319"/>
      <c r="O38" s="319"/>
    </row>
    <row r="39" spans="1:20" ht="15" customHeight="1">
      <c r="A39" s="36"/>
      <c r="B39" s="44" t="s">
        <v>210</v>
      </c>
      <c r="C39" s="36"/>
      <c r="D39" s="35"/>
      <c r="E39" s="39">
        <v>1</v>
      </c>
      <c r="F39" s="85"/>
      <c r="H39" s="251"/>
      <c r="I39" s="251"/>
      <c r="J39" s="251"/>
      <c r="K39" s="319"/>
      <c r="L39" s="319"/>
      <c r="M39" s="319"/>
      <c r="N39" s="319"/>
      <c r="O39" s="319"/>
    </row>
    <row r="40" spans="1:20" ht="15" customHeight="1">
      <c r="A40" s="36"/>
      <c r="B40" s="44" t="s">
        <v>211</v>
      </c>
      <c r="C40" s="36"/>
      <c r="D40" s="35"/>
      <c r="E40" s="39">
        <v>1</v>
      </c>
      <c r="F40" s="85"/>
      <c r="H40" s="336" t="s">
        <v>307</v>
      </c>
      <c r="I40" s="336"/>
      <c r="J40" s="336"/>
      <c r="K40" s="307" t="s">
        <v>248</v>
      </c>
      <c r="L40" s="307"/>
      <c r="M40" s="307"/>
      <c r="N40" s="307"/>
      <c r="O40" s="307"/>
    </row>
    <row r="41" spans="1:20" ht="15" customHeight="1">
      <c r="A41" s="36"/>
      <c r="B41" s="44" t="s">
        <v>212</v>
      </c>
      <c r="C41" s="36"/>
      <c r="D41" s="35"/>
      <c r="E41" s="39">
        <v>0.5</v>
      </c>
      <c r="F41" s="86"/>
      <c r="H41" s="269"/>
      <c r="I41" s="269"/>
      <c r="J41" s="269"/>
      <c r="K41" s="266" t="s">
        <v>249</v>
      </c>
      <c r="L41" s="266"/>
      <c r="M41" s="266"/>
      <c r="N41" s="266"/>
      <c r="O41" s="266"/>
    </row>
    <row r="42" spans="1:20">
      <c r="A42" s="36"/>
      <c r="B42" s="306" t="s">
        <v>258</v>
      </c>
      <c r="C42" s="306"/>
      <c r="D42" s="306"/>
      <c r="E42" s="306"/>
      <c r="F42" s="86"/>
      <c r="H42" s="270"/>
      <c r="I42" s="270"/>
      <c r="J42" s="270"/>
      <c r="K42" s="266" t="s">
        <v>250</v>
      </c>
      <c r="L42" s="266"/>
      <c r="M42" s="266"/>
      <c r="N42" s="266"/>
      <c r="O42" s="266"/>
    </row>
    <row r="43" spans="1:20">
      <c r="A43" s="36"/>
      <c r="B43" s="44" t="s">
        <v>219</v>
      </c>
      <c r="C43" s="36"/>
      <c r="D43" s="35"/>
      <c r="E43" s="39">
        <v>10</v>
      </c>
      <c r="F43" s="85"/>
      <c r="H43" s="321"/>
      <c r="I43" s="321"/>
      <c r="J43" s="321"/>
      <c r="K43" s="266" t="s">
        <v>251</v>
      </c>
      <c r="L43" s="266"/>
      <c r="M43" s="266"/>
      <c r="N43" s="266"/>
      <c r="O43" s="266"/>
      <c r="Q43" s="44" t="s">
        <v>221</v>
      </c>
      <c r="R43" s="36"/>
      <c r="S43" s="35"/>
      <c r="T43" s="39">
        <v>10</v>
      </c>
    </row>
    <row r="44" spans="1:20">
      <c r="A44" s="36"/>
      <c r="B44" s="44" t="s">
        <v>290</v>
      </c>
      <c r="C44" s="36"/>
      <c r="D44" s="35"/>
      <c r="E44" s="39">
        <v>9</v>
      </c>
      <c r="F44" s="86"/>
      <c r="H44" s="251"/>
      <c r="I44" s="251"/>
      <c r="J44" s="251"/>
      <c r="K44" s="266" t="s">
        <v>252</v>
      </c>
      <c r="L44" s="266"/>
      <c r="M44" s="266"/>
      <c r="N44" s="266"/>
      <c r="O44" s="266"/>
      <c r="Q44" s="44" t="s">
        <v>223</v>
      </c>
      <c r="R44" s="36"/>
      <c r="S44" s="35"/>
      <c r="T44" s="39">
        <v>8</v>
      </c>
    </row>
    <row r="45" spans="1:20" ht="15" customHeight="1">
      <c r="A45" s="36"/>
      <c r="B45" s="44" t="s">
        <v>227</v>
      </c>
      <c r="C45" s="36"/>
      <c r="D45" s="35"/>
      <c r="E45" s="39">
        <v>9.5</v>
      </c>
      <c r="F45" s="86"/>
      <c r="H45" s="251"/>
      <c r="I45" s="251"/>
      <c r="J45" s="251"/>
      <c r="K45" s="266" t="s">
        <v>254</v>
      </c>
      <c r="L45" s="266"/>
      <c r="M45" s="266"/>
      <c r="N45" s="266"/>
      <c r="O45" s="266"/>
    </row>
    <row r="46" spans="1:20">
      <c r="A46" s="36"/>
      <c r="B46" s="44" t="s">
        <v>225</v>
      </c>
      <c r="C46" s="36"/>
      <c r="D46" s="35"/>
      <c r="E46" s="39">
        <v>9</v>
      </c>
      <c r="F46" s="86"/>
      <c r="H46" s="251"/>
      <c r="I46" s="251"/>
      <c r="J46" s="251"/>
      <c r="K46" s="266" t="s">
        <v>255</v>
      </c>
      <c r="L46" s="266"/>
      <c r="M46" s="266"/>
      <c r="N46" s="266"/>
      <c r="O46" s="266"/>
      <c r="Q46" s="44" t="s">
        <v>229</v>
      </c>
      <c r="R46" s="36"/>
      <c r="S46" s="35"/>
      <c r="T46" s="39">
        <v>8</v>
      </c>
    </row>
    <row r="47" spans="1:20" ht="15" customHeight="1">
      <c r="A47" s="36"/>
      <c r="B47" s="44" t="s">
        <v>222</v>
      </c>
      <c r="C47" s="36"/>
      <c r="D47" s="35"/>
      <c r="E47" s="39">
        <v>10</v>
      </c>
      <c r="F47" s="86"/>
      <c r="Q47" s="44" t="s">
        <v>224</v>
      </c>
      <c r="R47" s="36"/>
      <c r="S47" s="35"/>
      <c r="T47" s="39">
        <v>9</v>
      </c>
    </row>
    <row r="48" spans="1:20">
      <c r="A48" s="37"/>
      <c r="B48" s="306" t="s">
        <v>83</v>
      </c>
      <c r="C48" s="306"/>
      <c r="D48" s="306"/>
      <c r="E48" s="306"/>
      <c r="F48" s="86"/>
      <c r="H48" s="309"/>
      <c r="I48" s="310"/>
      <c r="J48" s="310"/>
      <c r="K48" s="317" t="s">
        <v>125</v>
      </c>
      <c r="L48" s="318"/>
      <c r="M48" s="318"/>
      <c r="N48" s="318"/>
      <c r="O48" s="318"/>
    </row>
    <row r="49" spans="1:15">
      <c r="A49" s="37"/>
      <c r="B49" s="44" t="s">
        <v>231</v>
      </c>
      <c r="C49" s="40"/>
      <c r="D49" s="40"/>
      <c r="E49" s="39">
        <v>10</v>
      </c>
      <c r="F49" s="85"/>
      <c r="H49" s="257" t="s">
        <v>292</v>
      </c>
      <c r="I49" s="258"/>
      <c r="J49" s="258"/>
      <c r="K49" s="301" t="s">
        <v>127</v>
      </c>
      <c r="L49" s="301"/>
      <c r="M49" s="301"/>
      <c r="N49" s="301"/>
      <c r="O49" s="302"/>
    </row>
    <row r="50" spans="1:15">
      <c r="A50" s="37"/>
      <c r="B50" s="44" t="s">
        <v>308</v>
      </c>
      <c r="C50" s="40"/>
      <c r="D50" s="40"/>
      <c r="E50" s="39">
        <v>4</v>
      </c>
      <c r="F50" s="85"/>
      <c r="H50" s="250"/>
      <c r="I50" s="250"/>
      <c r="J50" s="250"/>
      <c r="K50" s="67" t="s">
        <v>309</v>
      </c>
      <c r="L50" s="64"/>
      <c r="M50" s="64"/>
      <c r="N50" s="64"/>
      <c r="O50" s="64"/>
    </row>
    <row r="51" spans="1:15">
      <c r="A51" s="37"/>
      <c r="B51" s="261"/>
      <c r="C51" s="262"/>
      <c r="D51" s="262"/>
      <c r="E51" s="40"/>
      <c r="F51" s="85"/>
      <c r="H51" s="308"/>
      <c r="I51" s="308"/>
      <c r="J51" s="308"/>
      <c r="K51" s="67" t="s">
        <v>310</v>
      </c>
    </row>
    <row r="52" spans="1:15" ht="15" customHeight="1">
      <c r="A52" s="37"/>
      <c r="B52" s="285" t="s">
        <v>3</v>
      </c>
      <c r="C52" s="285"/>
      <c r="D52" s="285"/>
      <c r="E52" s="285"/>
      <c r="F52" s="85"/>
    </row>
    <row r="53" spans="1:15">
      <c r="A53" s="37"/>
      <c r="B53" s="283" t="s">
        <v>187</v>
      </c>
      <c r="C53" s="283"/>
      <c r="D53" s="283"/>
      <c r="E53" s="283"/>
      <c r="F53" s="85"/>
      <c r="H53" s="309"/>
      <c r="I53" s="310"/>
      <c r="J53" s="310"/>
      <c r="K53" s="317" t="s">
        <v>130</v>
      </c>
      <c r="L53" s="318"/>
      <c r="M53" s="318"/>
      <c r="N53" s="318"/>
      <c r="O53" s="318"/>
    </row>
    <row r="54" spans="1:15">
      <c r="A54" s="37"/>
      <c r="B54" s="283" t="s">
        <v>188</v>
      </c>
      <c r="C54" s="284"/>
      <c r="D54" s="284"/>
      <c r="E54" s="284"/>
      <c r="F54" s="85"/>
      <c r="H54" s="249" t="s">
        <v>295</v>
      </c>
      <c r="I54" s="258"/>
      <c r="J54" s="258"/>
      <c r="K54" s="301" t="s">
        <v>131</v>
      </c>
      <c r="L54" s="301"/>
      <c r="M54" s="301"/>
      <c r="N54" s="301"/>
      <c r="O54" s="302"/>
    </row>
    <row r="55" spans="1:15">
      <c r="A55" s="37"/>
      <c r="B55" s="283" t="s">
        <v>190</v>
      </c>
      <c r="C55" s="284"/>
      <c r="D55" s="284"/>
      <c r="E55" s="284"/>
      <c r="F55" s="85"/>
      <c r="H55" s="250"/>
      <c r="I55" s="250"/>
      <c r="J55" s="250"/>
      <c r="K55" s="67" t="s">
        <v>132</v>
      </c>
      <c r="L55" s="190"/>
      <c r="M55" s="190"/>
      <c r="N55" s="190"/>
      <c r="O55" s="190"/>
    </row>
    <row r="56" spans="1:15" ht="15" customHeight="1">
      <c r="A56" s="37"/>
      <c r="B56" s="294" t="s">
        <v>195</v>
      </c>
      <c r="C56" s="294"/>
      <c r="D56" s="294"/>
      <c r="E56" s="294"/>
      <c r="F56" s="85"/>
      <c r="H56" s="300"/>
      <c r="I56" s="300"/>
      <c r="J56" s="300"/>
      <c r="K56" s="303" t="s">
        <v>235</v>
      </c>
      <c r="L56" s="304"/>
      <c r="M56" s="304"/>
      <c r="N56" s="304"/>
      <c r="O56" s="304"/>
    </row>
    <row r="57" spans="1:15">
      <c r="A57" s="37"/>
      <c r="B57" s="288"/>
      <c r="C57" s="288"/>
      <c r="D57" s="288"/>
      <c r="E57" s="288"/>
      <c r="F57" s="85"/>
    </row>
    <row r="58" spans="1:15" ht="8.1" customHeight="1">
      <c r="A58" s="37"/>
      <c r="B58" s="334">
        <f ca="1">NOW()</f>
        <v>46069.632974189815</v>
      </c>
      <c r="C58" s="334"/>
      <c r="D58" s="71"/>
      <c r="E58" s="71"/>
      <c r="F58" s="85"/>
    </row>
    <row r="59" spans="1:15" ht="8.1" customHeight="1">
      <c r="A59" s="37"/>
      <c r="B59" s="334"/>
      <c r="C59" s="334"/>
      <c r="D59" s="196"/>
      <c r="E59" s="196"/>
      <c r="F59" s="85"/>
      <c r="G59" s="94"/>
      <c r="H59" s="179"/>
      <c r="I59" s="179"/>
      <c r="J59" s="179"/>
      <c r="K59" s="335"/>
      <c r="L59" s="335"/>
      <c r="M59" s="335"/>
      <c r="N59" s="335"/>
      <c r="O59" s="335"/>
    </row>
    <row r="60" spans="1:15" ht="8.1" customHeight="1">
      <c r="A60" s="37"/>
      <c r="B60" s="334"/>
      <c r="C60" s="334"/>
      <c r="D60" s="69"/>
      <c r="E60" s="70"/>
      <c r="F60" s="35"/>
      <c r="G60" s="35"/>
      <c r="H60" s="35"/>
      <c r="I60" s="35"/>
      <c r="J60" s="35"/>
      <c r="K60" s="259"/>
      <c r="L60" s="259"/>
      <c r="M60" s="259"/>
      <c r="N60" s="259"/>
      <c r="O60" s="259"/>
    </row>
  </sheetData>
  <mergeCells count="76">
    <mergeCell ref="B1:E3"/>
    <mergeCell ref="K1:O1"/>
    <mergeCell ref="B4:E5"/>
    <mergeCell ref="H16:J16"/>
    <mergeCell ref="K16:O16"/>
    <mergeCell ref="K6:O6"/>
    <mergeCell ref="H8:J9"/>
    <mergeCell ref="H13:J14"/>
    <mergeCell ref="B6:E13"/>
    <mergeCell ref="K2:O2"/>
    <mergeCell ref="K3:O3"/>
    <mergeCell ref="H4:J4"/>
    <mergeCell ref="K4:O4"/>
    <mergeCell ref="K18:L21"/>
    <mergeCell ref="M18:O21"/>
    <mergeCell ref="H21:J21"/>
    <mergeCell ref="H5:J7"/>
    <mergeCell ref="H17:J20"/>
    <mergeCell ref="K10:O10"/>
    <mergeCell ref="K11:O14"/>
    <mergeCell ref="K5:O5"/>
    <mergeCell ref="K17:O17"/>
    <mergeCell ref="B21:D21"/>
    <mergeCell ref="B14:D14"/>
    <mergeCell ref="B15:E19"/>
    <mergeCell ref="B20:E20"/>
    <mergeCell ref="H10:J12"/>
    <mergeCell ref="B25:D25"/>
    <mergeCell ref="H37:J37"/>
    <mergeCell ref="H38:J38"/>
    <mergeCell ref="B33:D33"/>
    <mergeCell ref="B30:D30"/>
    <mergeCell ref="H24:J28"/>
    <mergeCell ref="H36:J36"/>
    <mergeCell ref="H33:J33"/>
    <mergeCell ref="H34:J34"/>
    <mergeCell ref="H35:J35"/>
    <mergeCell ref="H29:J31"/>
    <mergeCell ref="H32:J32"/>
    <mergeCell ref="B48:E48"/>
    <mergeCell ref="H48:J48"/>
    <mergeCell ref="K48:O48"/>
    <mergeCell ref="B42:E42"/>
    <mergeCell ref="H46:J46"/>
    <mergeCell ref="K46:O46"/>
    <mergeCell ref="H45:J45"/>
    <mergeCell ref="K45:O45"/>
    <mergeCell ref="K42:O42"/>
    <mergeCell ref="K43:O43"/>
    <mergeCell ref="H40:J43"/>
    <mergeCell ref="K40:O40"/>
    <mergeCell ref="K41:O41"/>
    <mergeCell ref="H44:J44"/>
    <mergeCell ref="K44:O44"/>
    <mergeCell ref="B51:D51"/>
    <mergeCell ref="B52:E52"/>
    <mergeCell ref="B53:E53"/>
    <mergeCell ref="H53:J53"/>
    <mergeCell ref="K53:O53"/>
    <mergeCell ref="H49:J51"/>
    <mergeCell ref="K49:O49"/>
    <mergeCell ref="B57:E57"/>
    <mergeCell ref="B58:C60"/>
    <mergeCell ref="K60:O60"/>
    <mergeCell ref="B54:E54"/>
    <mergeCell ref="H54:J56"/>
    <mergeCell ref="K54:O54"/>
    <mergeCell ref="B55:E55"/>
    <mergeCell ref="B56:E56"/>
    <mergeCell ref="K56:O56"/>
    <mergeCell ref="K59:O59"/>
    <mergeCell ref="H39:J39"/>
    <mergeCell ref="K22:O23"/>
    <mergeCell ref="K24:O24"/>
    <mergeCell ref="K25:O39"/>
    <mergeCell ref="H22:J23"/>
  </mergeCells>
  <conditionalFormatting sqref="E22:E41 E49:E50 T43:T44 T46:T47 E43:E47">
    <cfRule type="dataBar" priority="1">
      <dataBar showValue="0">
        <cfvo type="num" val="0"/>
        <cfvo type="num" val="10"/>
        <color theme="4" tint="0.39997558519241921"/>
      </dataBar>
      <extLst>
        <ext xmlns:x14="http://schemas.microsoft.com/office/spreadsheetml/2009/9/main" uri="{B025F937-C7B1-47D3-B67F-A62EFF666E3E}">
          <x14:id>{3C948F90-6061-4FC6-898F-47EC4F7B5D96}</x14:id>
        </ext>
      </extLst>
    </cfRule>
  </conditionalFormatting>
  <hyperlinks>
    <hyperlink ref="B53" r:id="rId1" xr:uid="{C5B31B41-DDCC-457C-AA2F-C59BA87E3848}"/>
    <hyperlink ref="B54" r:id="rId2" xr:uid="{F485DD5C-585F-4879-A8F7-DD1C49DD1ECC}"/>
    <hyperlink ref="B55" r:id="rId3" xr:uid="{B117E5E0-B71D-4709-9E99-6E15A80EA929}"/>
    <hyperlink ref="H32:J32" r:id="rId4" display="http://www.sunbird.lk/" xr:uid="{82228303-DC02-46BB-B8C4-DC7FC8962036}"/>
    <hyperlink ref="K56" r:id="rId5" display="jserranopaul@gmail.com " xr:uid="{AA871493-3194-4BA0-961B-2155ACDDABAB}"/>
    <hyperlink ref="K56:N56" r:id="rId6" tooltip="jorge.paul@wbscodingschool.com" display="jorge.paul@wbscodingschool.com" xr:uid="{BD27472C-D73D-4162-B4AD-88D9B7079F60}"/>
    <hyperlink ref="K7" r:id="rId7" xr:uid="{30598ED3-510A-4CCF-BAD7-9E154E731B62}"/>
    <hyperlink ref="K8" r:id="rId8" display="http://vrw-gh.github.io/final-project-wd020" xr:uid="{25C83A33-0919-4243-85E7-42A4BBB457F0}"/>
    <hyperlink ref="K8:O8" r:id="rId9" tooltip="Sanskara Landing Page (React.js)" display="https://vrw-gh.github.io/sanskara" xr:uid="{01323686-57E7-45DF-8A14-5B575C034358}"/>
    <hyperlink ref="K9" r:id="rId10" display="http://vrw-gh.github.io/final-project-wd020" xr:uid="{22006605-4F3A-41C3-82B4-D49D49F8D27A}"/>
    <hyperlink ref="K9:O9" r:id="rId11" tooltip="Backend API (Node.js)" display="https://vrw-gh.github.io/sharemyfood-backend" xr:uid="{46D06B3F-1B6E-46C7-8D74-15CFC45DF5D8}"/>
    <hyperlink ref="K7:O7" r:id="rId12" tooltip="Share My Food App (Full-Stack App)" display="http://vrw-gh.github.io/final-project-wd020" xr:uid="{8D1A633E-1A6C-4C50-A764-267EFB7F4A96}"/>
  </hyperlinks>
  <printOptions horizontalCentered="1" verticalCentered="1"/>
  <pageMargins left="0" right="0" top="0" bottom="0" header="0" footer="0"/>
  <pageSetup paperSize="9" fitToHeight="0" orientation="portrait" r:id="rId13"/>
  <drawing r:id="rId14"/>
  <extLst>
    <ext xmlns:x14="http://schemas.microsoft.com/office/spreadsheetml/2009/9/main" uri="{78C0D931-6437-407d-A8EE-F0AAD7539E65}">
      <x14:conditionalFormattings>
        <x14:conditionalFormatting xmlns:xm="http://schemas.microsoft.com/office/excel/2006/main">
          <x14:cfRule type="dataBar" id="{3C948F90-6061-4FC6-898F-47EC4F7B5D96}">
            <x14:dataBar minLength="0" maxLength="100" border="1" gradient="0">
              <x14:cfvo type="num">
                <xm:f>0</xm:f>
              </x14:cfvo>
              <x14:cfvo type="num">
                <xm:f>10</xm:f>
              </x14:cfvo>
              <x14:borderColor theme="4" tint="-0.249977111117893"/>
              <x14:negativeFillColor rgb="FFFF0000"/>
              <x14:axisColor rgb="FF000000"/>
            </x14:dataBar>
          </x14:cfRule>
          <xm:sqref>E22:E41 E49:E50 T43:T44 T46:T47 E43:E47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3212-4FC0-4E4D-B15E-4199DACE7D71}">
  <dimension ref="A1:O60"/>
  <sheetViews>
    <sheetView topLeftCell="A7" workbookViewId="0">
      <selection activeCell="H13" sqref="H13:J15"/>
    </sheetView>
  </sheetViews>
  <sheetFormatPr defaultRowHeight="15"/>
  <cols>
    <col min="1" max="1" width="2.28515625" customWidth="1"/>
    <col min="4" max="4" width="5.28515625" customWidth="1"/>
    <col min="5" max="5" width="12.85546875" customWidth="1"/>
    <col min="6" max="7" width="0.85546875" customWidth="1"/>
    <col min="8" max="8" width="9.28515625" customWidth="1"/>
    <col min="9" max="9" width="6.5703125" customWidth="1"/>
    <col min="10" max="14" width="7.7109375" customWidth="1"/>
    <col min="15" max="15" width="8.85546875" customWidth="1"/>
  </cols>
  <sheetData>
    <row r="1" spans="1:15" ht="12" customHeight="1">
      <c r="A1" s="34"/>
      <c r="B1" s="299" t="s">
        <v>137</v>
      </c>
      <c r="C1" s="299"/>
      <c r="D1" s="299"/>
      <c r="E1" s="299"/>
      <c r="F1" s="35"/>
      <c r="G1" s="87"/>
      <c r="H1" s="35"/>
      <c r="I1" s="35"/>
      <c r="J1" s="35"/>
      <c r="K1" s="259"/>
      <c r="L1" s="260"/>
      <c r="M1" s="260"/>
      <c r="N1" s="260"/>
      <c r="O1" s="260"/>
    </row>
    <row r="2" spans="1:15" ht="6" customHeight="1">
      <c r="A2" s="36"/>
      <c r="B2" s="299"/>
      <c r="C2" s="299"/>
      <c r="D2" s="299"/>
      <c r="E2" s="299"/>
      <c r="F2" s="81"/>
      <c r="G2" s="88" t="s">
        <v>261</v>
      </c>
      <c r="H2" s="89"/>
      <c r="I2" s="89"/>
      <c r="J2" s="89"/>
      <c r="K2" s="355"/>
      <c r="L2" s="355"/>
      <c r="M2" s="355"/>
      <c r="N2" s="355"/>
      <c r="O2" s="355"/>
    </row>
    <row r="3" spans="1:15" ht="15" customHeight="1">
      <c r="A3" s="36"/>
      <c r="B3" s="299"/>
      <c r="C3" s="299"/>
      <c r="D3" s="299"/>
      <c r="E3" s="299"/>
      <c r="F3" s="81"/>
      <c r="G3" s="90"/>
      <c r="H3" s="90"/>
      <c r="I3" s="90"/>
      <c r="J3" s="90"/>
      <c r="K3" s="260"/>
      <c r="L3" s="260"/>
      <c r="M3" s="260"/>
      <c r="N3" s="260"/>
      <c r="O3" s="260"/>
    </row>
    <row r="4" spans="1:15">
      <c r="A4" s="36"/>
      <c r="B4" s="265" t="s">
        <v>1</v>
      </c>
      <c r="C4" s="265"/>
      <c r="D4" s="265"/>
      <c r="E4" s="265"/>
      <c r="F4" s="81"/>
      <c r="G4" s="344" t="s">
        <v>311</v>
      </c>
      <c r="H4" s="344"/>
      <c r="I4" s="344"/>
      <c r="J4" s="344"/>
      <c r="K4" s="344"/>
      <c r="L4" s="344"/>
      <c r="M4" s="344"/>
      <c r="N4" s="344"/>
      <c r="O4" s="344"/>
    </row>
    <row r="5" spans="1:15">
      <c r="A5" s="36"/>
      <c r="B5" s="265"/>
      <c r="C5" s="265"/>
      <c r="D5" s="265"/>
      <c r="E5" s="265"/>
      <c r="F5" s="81"/>
      <c r="G5" s="66"/>
      <c r="H5" s="249" t="s">
        <v>312</v>
      </c>
      <c r="I5" s="249"/>
      <c r="J5" s="249"/>
      <c r="K5" s="345" t="s">
        <v>313</v>
      </c>
      <c r="L5" s="345"/>
      <c r="M5" s="345"/>
      <c r="N5" s="345"/>
      <c r="O5" s="346"/>
    </row>
    <row r="6" spans="1:15">
      <c r="A6" s="36"/>
      <c r="B6" s="312" t="s">
        <v>297</v>
      </c>
      <c r="C6" s="313"/>
      <c r="D6" s="313"/>
      <c r="E6" s="313"/>
      <c r="F6" s="81"/>
      <c r="G6" s="66"/>
      <c r="H6" s="269"/>
      <c r="I6" s="269"/>
      <c r="J6" s="269"/>
      <c r="K6" s="266" t="s">
        <v>314</v>
      </c>
      <c r="L6" s="266"/>
      <c r="M6" s="266"/>
      <c r="N6" s="266"/>
      <c r="O6" s="266"/>
    </row>
    <row r="7" spans="1:15">
      <c r="A7" s="36"/>
      <c r="B7" s="313"/>
      <c r="C7" s="313"/>
      <c r="D7" s="313"/>
      <c r="E7" s="313"/>
      <c r="F7" s="81"/>
      <c r="G7" s="66"/>
      <c r="H7" s="308"/>
      <c r="I7" s="308"/>
      <c r="J7" s="308"/>
      <c r="K7" s="266"/>
      <c r="L7" s="266"/>
      <c r="M7" s="266"/>
      <c r="N7" s="266"/>
      <c r="O7" s="266"/>
    </row>
    <row r="8" spans="1:15">
      <c r="A8" s="36"/>
      <c r="B8" s="313"/>
      <c r="C8" s="313"/>
      <c r="D8" s="313"/>
      <c r="E8" s="313"/>
      <c r="F8" s="81"/>
      <c r="G8" s="66"/>
      <c r="H8" s="348" t="s">
        <v>280</v>
      </c>
      <c r="I8" s="348"/>
      <c r="J8" s="348"/>
      <c r="K8" s="349" t="s">
        <v>71</v>
      </c>
      <c r="L8" s="349"/>
      <c r="M8" s="349"/>
      <c r="N8" s="349"/>
      <c r="O8" s="349"/>
    </row>
    <row r="9" spans="1:15">
      <c r="A9" s="36"/>
      <c r="B9" s="313"/>
      <c r="C9" s="313"/>
      <c r="D9" s="313"/>
      <c r="E9" s="313"/>
      <c r="F9" s="81"/>
      <c r="G9" s="66"/>
      <c r="H9" s="269"/>
      <c r="I9" s="269"/>
      <c r="J9" s="269"/>
      <c r="K9" s="323" t="s">
        <v>298</v>
      </c>
      <c r="L9" s="323"/>
      <c r="M9" s="323"/>
      <c r="N9" s="323"/>
      <c r="O9" s="323"/>
    </row>
    <row r="10" spans="1:15">
      <c r="A10" s="36"/>
      <c r="B10" s="313"/>
      <c r="C10" s="313"/>
      <c r="D10" s="313"/>
      <c r="E10" s="313"/>
      <c r="F10" s="81"/>
      <c r="G10" s="66"/>
      <c r="H10" s="308"/>
      <c r="I10" s="308"/>
      <c r="J10" s="308"/>
      <c r="K10" s="75" t="s">
        <v>76</v>
      </c>
      <c r="L10" s="74"/>
      <c r="M10" s="74"/>
      <c r="N10" s="74"/>
      <c r="O10" s="74"/>
    </row>
    <row r="11" spans="1:15">
      <c r="A11" s="36"/>
      <c r="B11" s="313"/>
      <c r="C11" s="313"/>
      <c r="D11" s="313"/>
      <c r="E11" s="313"/>
      <c r="F11" s="81"/>
      <c r="G11" s="66"/>
      <c r="H11" s="251" t="s">
        <v>299</v>
      </c>
      <c r="I11" s="251"/>
      <c r="J11" s="251"/>
      <c r="K11" s="75" t="s">
        <v>284</v>
      </c>
      <c r="L11" s="74"/>
      <c r="M11" s="74"/>
      <c r="N11" s="74"/>
      <c r="O11" s="74"/>
    </row>
    <row r="12" spans="1:15" ht="15" customHeight="1">
      <c r="A12" s="36"/>
      <c r="B12" s="313"/>
      <c r="C12" s="313"/>
      <c r="D12" s="313"/>
      <c r="E12" s="313"/>
      <c r="F12" s="81"/>
      <c r="G12" s="66"/>
      <c r="H12" s="252"/>
      <c r="I12" s="252"/>
      <c r="J12" s="252"/>
      <c r="K12" s="75" t="s">
        <v>286</v>
      </c>
      <c r="L12" s="74"/>
      <c r="M12" s="74"/>
      <c r="N12" s="74"/>
      <c r="O12" s="74"/>
    </row>
    <row r="13" spans="1:15" ht="15" customHeight="1">
      <c r="A13" s="36"/>
      <c r="B13" s="313"/>
      <c r="C13" s="313"/>
      <c r="D13" s="313"/>
      <c r="E13" s="313"/>
      <c r="F13" s="81"/>
      <c r="H13" s="337" t="s">
        <v>288</v>
      </c>
      <c r="I13" s="338"/>
      <c r="J13" s="338"/>
      <c r="K13" s="356" t="s">
        <v>78</v>
      </c>
      <c r="L13" s="356"/>
      <c r="M13" s="356"/>
      <c r="N13" s="356"/>
      <c r="O13" s="356"/>
    </row>
    <row r="14" spans="1:15">
      <c r="A14" s="36"/>
      <c r="B14" s="261" t="s">
        <v>272</v>
      </c>
      <c r="C14" s="262"/>
      <c r="D14" s="262"/>
      <c r="E14" s="40"/>
      <c r="F14" s="82"/>
      <c r="G14" s="66"/>
      <c r="H14" s="250"/>
      <c r="I14" s="250"/>
      <c r="J14" s="250"/>
      <c r="K14" s="266" t="s">
        <v>259</v>
      </c>
      <c r="L14" s="266"/>
      <c r="M14" s="266"/>
      <c r="N14" s="266"/>
      <c r="O14" s="266"/>
    </row>
    <row r="15" spans="1:15" ht="15" customHeight="1">
      <c r="A15" s="36"/>
      <c r="B15" s="298" t="s">
        <v>273</v>
      </c>
      <c r="C15" s="298"/>
      <c r="D15" s="298"/>
      <c r="E15" s="298"/>
      <c r="F15" s="82"/>
      <c r="G15" s="66"/>
      <c r="H15" s="322"/>
      <c r="I15" s="322"/>
      <c r="J15" s="322"/>
      <c r="K15" s="266"/>
      <c r="L15" s="266"/>
      <c r="M15" s="266"/>
      <c r="N15" s="266"/>
      <c r="O15" s="266"/>
    </row>
    <row r="16" spans="1:15">
      <c r="A16" s="36"/>
      <c r="B16" s="298"/>
      <c r="C16" s="298"/>
      <c r="D16" s="298"/>
      <c r="E16" s="298"/>
      <c r="F16" s="81"/>
      <c r="G16" s="66"/>
      <c r="H16" s="251" t="s">
        <v>291</v>
      </c>
      <c r="I16" s="251"/>
      <c r="J16" s="251"/>
      <c r="K16" s="266"/>
      <c r="L16" s="266"/>
      <c r="M16" s="266"/>
      <c r="N16" s="266"/>
      <c r="O16" s="266"/>
    </row>
    <row r="17" spans="1:15" ht="15" customHeight="1">
      <c r="A17" s="36"/>
      <c r="B17" s="298"/>
      <c r="C17" s="298"/>
      <c r="D17" s="298"/>
      <c r="E17" s="298"/>
      <c r="F17" s="81"/>
      <c r="G17" s="66"/>
      <c r="H17" s="254"/>
      <c r="I17" s="254"/>
      <c r="J17" s="254"/>
      <c r="K17" s="266"/>
      <c r="L17" s="266"/>
      <c r="M17" s="266"/>
      <c r="N17" s="266"/>
      <c r="O17" s="266"/>
    </row>
    <row r="18" spans="1:15">
      <c r="A18" s="36"/>
      <c r="B18" s="298"/>
      <c r="C18" s="298"/>
      <c r="D18" s="298"/>
      <c r="E18" s="298"/>
      <c r="F18" s="81"/>
      <c r="H18" s="353" t="s">
        <v>292</v>
      </c>
      <c r="I18" s="354"/>
      <c r="J18" s="354"/>
      <c r="K18" s="349" t="s">
        <v>127</v>
      </c>
      <c r="L18" s="349"/>
      <c r="M18" s="349"/>
      <c r="N18" s="349"/>
      <c r="O18" s="349"/>
    </row>
    <row r="19" spans="1:15" ht="15" customHeight="1">
      <c r="A19" s="36"/>
      <c r="B19" s="298"/>
      <c r="C19" s="298"/>
      <c r="D19" s="298"/>
      <c r="E19" s="298"/>
      <c r="F19" s="81"/>
      <c r="H19" s="250"/>
      <c r="I19" s="250"/>
      <c r="J19" s="250"/>
      <c r="K19" s="67" t="s">
        <v>309</v>
      </c>
      <c r="L19" s="64"/>
      <c r="M19" s="64"/>
      <c r="N19" s="64"/>
      <c r="O19" s="64"/>
    </row>
    <row r="20" spans="1:15">
      <c r="A20" s="36"/>
      <c r="B20" s="306" t="s">
        <v>12</v>
      </c>
      <c r="C20" s="306"/>
      <c r="D20" s="306"/>
      <c r="E20" s="306"/>
      <c r="F20" s="81"/>
      <c r="H20" s="308"/>
      <c r="I20" s="308"/>
      <c r="J20" s="308"/>
      <c r="K20" s="67" t="s">
        <v>310</v>
      </c>
    </row>
    <row r="21" spans="1:15">
      <c r="A21" s="36"/>
      <c r="B21" s="261" t="s">
        <v>275</v>
      </c>
      <c r="C21" s="262"/>
      <c r="D21" s="262"/>
      <c r="E21" s="40"/>
      <c r="F21" s="83"/>
      <c r="G21" s="90"/>
      <c r="H21" s="90"/>
      <c r="I21" s="90"/>
      <c r="J21" s="90"/>
      <c r="K21" s="260"/>
      <c r="L21" s="260"/>
      <c r="M21" s="260"/>
      <c r="N21" s="260"/>
      <c r="O21" s="260"/>
    </row>
    <row r="22" spans="1:15">
      <c r="A22" s="36"/>
      <c r="B22" s="44" t="s">
        <v>160</v>
      </c>
      <c r="C22" s="36"/>
      <c r="D22" s="36"/>
      <c r="E22" s="45">
        <v>7</v>
      </c>
      <c r="F22" s="83"/>
      <c r="G22" s="344" t="s">
        <v>91</v>
      </c>
      <c r="H22" s="344"/>
      <c r="I22" s="344"/>
      <c r="J22" s="344"/>
      <c r="K22" s="344"/>
      <c r="L22" s="344"/>
      <c r="M22" s="344"/>
      <c r="N22" s="344"/>
      <c r="O22" s="344"/>
    </row>
    <row r="23" spans="1:15" ht="15" customHeight="1">
      <c r="A23" s="36"/>
      <c r="B23" s="44" t="s">
        <v>161</v>
      </c>
      <c r="C23" s="36"/>
      <c r="D23" s="36"/>
      <c r="E23" s="39">
        <v>4</v>
      </c>
      <c r="F23" s="83"/>
      <c r="G23" s="76"/>
      <c r="H23" s="258" t="s">
        <v>300</v>
      </c>
      <c r="I23" s="258"/>
      <c r="J23" s="258"/>
      <c r="K23" s="345" t="s">
        <v>263</v>
      </c>
      <c r="L23" s="345"/>
      <c r="M23" s="345"/>
      <c r="N23" s="345"/>
      <c r="O23" s="352"/>
    </row>
    <row r="24" spans="1:15">
      <c r="A24" s="36"/>
      <c r="B24" s="44" t="s">
        <v>302</v>
      </c>
      <c r="C24" s="36"/>
      <c r="D24" s="36"/>
      <c r="E24" s="39">
        <v>1</v>
      </c>
      <c r="F24" s="83"/>
      <c r="G24" s="77"/>
      <c r="H24" s="258"/>
      <c r="I24" s="258"/>
      <c r="J24" s="258"/>
      <c r="K24" s="266" t="s">
        <v>264</v>
      </c>
      <c r="L24" s="266"/>
      <c r="M24" s="266" t="s">
        <v>265</v>
      </c>
      <c r="N24" s="266"/>
      <c r="O24" s="320"/>
    </row>
    <row r="25" spans="1:15">
      <c r="A25" s="36"/>
      <c r="B25" s="261" t="s">
        <v>303</v>
      </c>
      <c r="C25" s="262"/>
      <c r="D25" s="262"/>
      <c r="E25" s="40"/>
      <c r="F25" s="83"/>
      <c r="G25" s="77"/>
      <c r="H25" s="258"/>
      <c r="I25" s="258"/>
      <c r="J25" s="258"/>
      <c r="K25" s="266"/>
      <c r="L25" s="266"/>
      <c r="M25" s="266"/>
      <c r="N25" s="266"/>
      <c r="O25" s="320"/>
    </row>
    <row r="26" spans="1:15">
      <c r="A26" s="36"/>
      <c r="B26" s="44" t="s">
        <v>164</v>
      </c>
      <c r="C26" s="36"/>
      <c r="D26" s="36"/>
      <c r="E26" s="39">
        <v>5</v>
      </c>
      <c r="F26" s="83"/>
      <c r="G26" s="77"/>
      <c r="H26" s="321"/>
      <c r="I26" s="321"/>
      <c r="J26" s="321"/>
      <c r="K26" s="266"/>
      <c r="L26" s="266"/>
      <c r="M26" s="266"/>
      <c r="N26" s="266"/>
      <c r="O26" s="320"/>
    </row>
    <row r="27" spans="1:15" ht="15" customHeight="1">
      <c r="A27" s="36"/>
      <c r="B27" s="44" t="s">
        <v>166</v>
      </c>
      <c r="C27" s="36"/>
      <c r="D27" s="36"/>
      <c r="E27" s="39">
        <v>4</v>
      </c>
      <c r="F27" s="83"/>
      <c r="G27" s="77"/>
      <c r="H27" s="251"/>
      <c r="I27" s="251"/>
      <c r="J27" s="251"/>
      <c r="K27" s="268"/>
      <c r="L27" s="268"/>
      <c r="M27" s="268"/>
      <c r="N27" s="268"/>
      <c r="O27" s="320"/>
    </row>
    <row r="28" spans="1:15" ht="15" customHeight="1">
      <c r="A28" s="36"/>
      <c r="B28" s="44" t="s">
        <v>167</v>
      </c>
      <c r="C28" s="36"/>
      <c r="D28" s="36"/>
      <c r="E28" s="39">
        <v>5</v>
      </c>
      <c r="F28" s="83"/>
      <c r="G28" s="77"/>
      <c r="H28" s="332" t="s">
        <v>267</v>
      </c>
      <c r="I28" s="333"/>
      <c r="J28" s="333"/>
      <c r="K28" s="314" t="s">
        <v>301</v>
      </c>
      <c r="L28" s="315"/>
      <c r="M28" s="315"/>
      <c r="N28" s="315"/>
      <c r="O28" s="315"/>
    </row>
    <row r="29" spans="1:15">
      <c r="A29" s="36"/>
      <c r="B29" s="44" t="s">
        <v>168</v>
      </c>
      <c r="C29" s="36"/>
      <c r="D29" s="36"/>
      <c r="E29" s="39">
        <v>3</v>
      </c>
      <c r="F29" s="84"/>
      <c r="G29" s="77"/>
      <c r="H29" s="250"/>
      <c r="I29" s="250"/>
      <c r="J29" s="250"/>
      <c r="K29" s="316"/>
      <c r="L29" s="316"/>
      <c r="M29" s="316"/>
      <c r="N29" s="316"/>
      <c r="O29" s="316"/>
    </row>
    <row r="30" spans="1:15">
      <c r="A30" s="36"/>
      <c r="B30" s="261" t="s">
        <v>278</v>
      </c>
      <c r="C30" s="262"/>
      <c r="D30" s="262"/>
      <c r="E30" s="40"/>
      <c r="F30" s="84"/>
      <c r="G30" s="78"/>
      <c r="H30" s="348" t="s">
        <v>269</v>
      </c>
      <c r="I30" s="348"/>
      <c r="J30" s="348"/>
      <c r="K30" s="349" t="s">
        <v>270</v>
      </c>
      <c r="L30" s="349"/>
      <c r="M30" s="349"/>
      <c r="N30" s="349"/>
      <c r="O30" s="350"/>
    </row>
    <row r="31" spans="1:15" ht="15" customHeight="1">
      <c r="A31" s="36"/>
      <c r="B31" s="44" t="s">
        <v>171</v>
      </c>
      <c r="C31" s="36"/>
      <c r="D31" s="36"/>
      <c r="E31" s="39">
        <v>5</v>
      </c>
      <c r="F31" s="85"/>
      <c r="G31" s="79"/>
      <c r="H31" s="249"/>
      <c r="I31" s="249"/>
      <c r="J31" s="249"/>
      <c r="K31" s="266" t="s">
        <v>304</v>
      </c>
      <c r="L31" s="266"/>
      <c r="M31" s="266"/>
      <c r="N31" s="266"/>
      <c r="O31" s="266"/>
    </row>
    <row r="32" spans="1:15" ht="15" customHeight="1">
      <c r="A32" s="36"/>
      <c r="B32" s="44" t="s">
        <v>173</v>
      </c>
      <c r="C32" s="36"/>
      <c r="D32" s="36"/>
      <c r="E32" s="39">
        <v>1</v>
      </c>
      <c r="F32" s="86"/>
      <c r="G32" s="80"/>
      <c r="H32" s="250"/>
      <c r="I32" s="250"/>
      <c r="J32" s="250"/>
      <c r="K32" s="266"/>
      <c r="L32" s="266"/>
      <c r="M32" s="266"/>
      <c r="N32" s="266"/>
      <c r="O32" s="266"/>
    </row>
    <row r="33" spans="1:15" ht="15" customHeight="1">
      <c r="A33" s="36"/>
      <c r="B33" s="261" t="s">
        <v>279</v>
      </c>
      <c r="C33" s="262"/>
      <c r="D33" s="262"/>
      <c r="E33" s="40"/>
      <c r="F33" s="86"/>
      <c r="G33" s="80"/>
      <c r="H33" s="322"/>
      <c r="I33" s="322"/>
      <c r="J33" s="322"/>
      <c r="K33" s="266"/>
      <c r="L33" s="266"/>
      <c r="M33" s="266"/>
      <c r="N33" s="266"/>
      <c r="O33" s="266"/>
    </row>
    <row r="34" spans="1:15" ht="15" customHeight="1">
      <c r="A34" s="36"/>
      <c r="B34" s="44" t="s">
        <v>175</v>
      </c>
      <c r="C34" s="36"/>
      <c r="D34" s="36"/>
      <c r="E34" s="39">
        <v>7</v>
      </c>
      <c r="F34" s="85"/>
      <c r="G34" s="80"/>
      <c r="H34" s="322"/>
      <c r="I34" s="322"/>
      <c r="J34" s="322"/>
      <c r="K34" s="266"/>
      <c r="L34" s="266"/>
      <c r="M34" s="266"/>
      <c r="N34" s="266"/>
      <c r="O34" s="266"/>
    </row>
    <row r="35" spans="1:15" ht="15" customHeight="1">
      <c r="A35" s="36"/>
      <c r="B35" s="44" t="s">
        <v>306</v>
      </c>
      <c r="C35" s="36"/>
      <c r="D35" s="36"/>
      <c r="E35" s="39">
        <v>4</v>
      </c>
      <c r="F35" s="86"/>
      <c r="G35" s="80"/>
      <c r="H35" s="251" t="s">
        <v>305</v>
      </c>
      <c r="I35" s="251"/>
      <c r="J35" s="251"/>
      <c r="K35" s="319"/>
      <c r="L35" s="319"/>
      <c r="M35" s="319"/>
      <c r="N35" s="319"/>
      <c r="O35" s="319"/>
    </row>
    <row r="36" spans="1:15" ht="15" customHeight="1">
      <c r="A36" s="36"/>
      <c r="B36" s="44" t="s">
        <v>180</v>
      </c>
      <c r="C36" s="36"/>
      <c r="D36" s="36"/>
      <c r="E36" s="39">
        <v>2</v>
      </c>
      <c r="F36" s="86"/>
      <c r="G36" s="79"/>
      <c r="H36" s="251"/>
      <c r="I36" s="251"/>
      <c r="J36" s="251"/>
      <c r="K36" s="319"/>
      <c r="L36" s="319"/>
      <c r="M36" s="319"/>
      <c r="N36" s="319"/>
      <c r="O36" s="319"/>
    </row>
    <row r="37" spans="1:15" ht="15" customHeight="1">
      <c r="A37" s="36"/>
      <c r="B37" s="44" t="s">
        <v>183</v>
      </c>
      <c r="C37" s="36"/>
      <c r="D37" s="36"/>
      <c r="E37" s="39">
        <v>4</v>
      </c>
      <c r="F37" s="86"/>
      <c r="G37" s="80"/>
      <c r="H37" s="252"/>
      <c r="I37" s="252"/>
      <c r="J37" s="252"/>
      <c r="K37" s="319"/>
      <c r="L37" s="319"/>
      <c r="M37" s="319"/>
      <c r="N37" s="319"/>
      <c r="O37" s="319"/>
    </row>
    <row r="38" spans="1:15">
      <c r="A38" s="36"/>
      <c r="B38" s="44" t="s">
        <v>208</v>
      </c>
      <c r="C38" s="36"/>
      <c r="D38" s="35"/>
      <c r="E38" s="39">
        <v>3</v>
      </c>
      <c r="F38" s="86"/>
      <c r="G38" s="80"/>
      <c r="H38" s="293" t="s">
        <v>156</v>
      </c>
      <c r="I38" s="293"/>
      <c r="J38" s="293"/>
      <c r="K38" s="319"/>
      <c r="L38" s="319"/>
      <c r="M38" s="319"/>
      <c r="N38" s="319"/>
      <c r="O38" s="319"/>
    </row>
    <row r="39" spans="1:15" ht="15" customHeight="1">
      <c r="A39" s="36"/>
      <c r="B39" s="44" t="s">
        <v>210</v>
      </c>
      <c r="C39" s="36"/>
      <c r="D39" s="35"/>
      <c r="E39" s="39">
        <v>1</v>
      </c>
      <c r="F39" s="85"/>
      <c r="G39" s="80"/>
      <c r="H39" s="251"/>
      <c r="I39" s="251"/>
      <c r="J39" s="251"/>
      <c r="K39" s="319"/>
      <c r="L39" s="319"/>
      <c r="M39" s="319"/>
      <c r="N39" s="319"/>
      <c r="O39" s="319"/>
    </row>
    <row r="40" spans="1:15" ht="15" customHeight="1">
      <c r="A40" s="36"/>
      <c r="B40" s="44" t="s">
        <v>211</v>
      </c>
      <c r="C40" s="36"/>
      <c r="D40" s="35"/>
      <c r="E40" s="39">
        <v>1</v>
      </c>
      <c r="F40" s="85"/>
      <c r="G40" s="80"/>
      <c r="H40" s="251"/>
      <c r="I40" s="251"/>
      <c r="J40" s="251"/>
      <c r="K40" s="319"/>
      <c r="L40" s="319"/>
      <c r="M40" s="319"/>
      <c r="N40" s="319"/>
      <c r="O40" s="319"/>
    </row>
    <row r="41" spans="1:15" ht="15" customHeight="1">
      <c r="A41" s="36"/>
      <c r="B41" s="44" t="s">
        <v>212</v>
      </c>
      <c r="C41" s="36"/>
      <c r="D41" s="35"/>
      <c r="E41" s="39">
        <v>0.5</v>
      </c>
      <c r="F41" s="86"/>
      <c r="G41" s="79"/>
      <c r="H41" s="251"/>
      <c r="I41" s="251"/>
      <c r="J41" s="251"/>
      <c r="K41" s="319"/>
      <c r="L41" s="319"/>
      <c r="M41" s="319"/>
      <c r="N41" s="319"/>
      <c r="O41" s="319"/>
    </row>
    <row r="42" spans="1:15">
      <c r="A42" s="36"/>
      <c r="B42" s="306" t="s">
        <v>258</v>
      </c>
      <c r="C42" s="306"/>
      <c r="D42" s="306"/>
      <c r="E42" s="306"/>
      <c r="F42" s="86"/>
      <c r="G42" s="80"/>
      <c r="H42" s="251"/>
      <c r="I42" s="251"/>
      <c r="J42" s="251"/>
      <c r="K42" s="319"/>
      <c r="L42" s="319"/>
      <c r="M42" s="319"/>
      <c r="N42" s="319"/>
      <c r="O42" s="319"/>
    </row>
    <row r="43" spans="1:15">
      <c r="A43" s="36"/>
      <c r="B43" s="44" t="s">
        <v>219</v>
      </c>
      <c r="C43" s="36"/>
      <c r="D43" s="35"/>
      <c r="E43" s="39">
        <v>10</v>
      </c>
      <c r="F43" s="85"/>
      <c r="G43" s="80"/>
      <c r="H43" s="251"/>
      <c r="I43" s="251"/>
      <c r="J43" s="251"/>
      <c r="K43" s="319"/>
      <c r="L43" s="319"/>
      <c r="M43" s="319"/>
      <c r="N43" s="319"/>
      <c r="O43" s="319"/>
    </row>
    <row r="44" spans="1:15">
      <c r="A44" s="36"/>
      <c r="B44" s="44" t="s">
        <v>290</v>
      </c>
      <c r="C44" s="36"/>
      <c r="D44" s="35"/>
      <c r="E44" s="39">
        <v>9</v>
      </c>
      <c r="F44" s="86"/>
      <c r="G44" s="79"/>
      <c r="H44" s="251"/>
      <c r="I44" s="251"/>
      <c r="J44" s="251"/>
      <c r="K44" s="319"/>
      <c r="L44" s="319"/>
      <c r="M44" s="319"/>
      <c r="N44" s="319"/>
      <c r="O44" s="319"/>
    </row>
    <row r="45" spans="1:15" ht="15" customHeight="1">
      <c r="A45" s="36"/>
      <c r="B45" s="44" t="s">
        <v>227</v>
      </c>
      <c r="C45" s="36"/>
      <c r="D45" s="35"/>
      <c r="E45" s="39">
        <v>9.5</v>
      </c>
      <c r="F45" s="86"/>
      <c r="G45" s="80"/>
      <c r="H45" s="347"/>
      <c r="I45" s="347"/>
      <c r="J45" s="347"/>
      <c r="K45" s="351"/>
      <c r="L45" s="351"/>
      <c r="M45" s="351"/>
      <c r="N45" s="351"/>
      <c r="O45" s="351"/>
    </row>
    <row r="46" spans="1:15">
      <c r="A46" s="36"/>
      <c r="B46" s="44" t="s">
        <v>225</v>
      </c>
      <c r="C46" s="36"/>
      <c r="D46" s="35"/>
      <c r="E46" s="39">
        <v>9</v>
      </c>
      <c r="F46" s="86"/>
      <c r="G46" s="79"/>
      <c r="H46" s="336" t="s">
        <v>307</v>
      </c>
      <c r="I46" s="336"/>
      <c r="J46" s="336"/>
      <c r="K46" s="307" t="s">
        <v>248</v>
      </c>
      <c r="L46" s="307"/>
      <c r="M46" s="307"/>
      <c r="N46" s="307"/>
      <c r="O46" s="307"/>
    </row>
    <row r="47" spans="1:15" ht="15" customHeight="1">
      <c r="A47" s="36"/>
      <c r="B47" s="44" t="s">
        <v>222</v>
      </c>
      <c r="C47" s="36"/>
      <c r="D47" s="35"/>
      <c r="E47" s="39">
        <v>10</v>
      </c>
      <c r="F47" s="86"/>
      <c r="G47" s="80"/>
      <c r="H47" s="269"/>
      <c r="I47" s="269"/>
      <c r="J47" s="269"/>
      <c r="K47" s="266" t="s">
        <v>249</v>
      </c>
      <c r="L47" s="266"/>
      <c r="M47" s="266"/>
      <c r="N47" s="266"/>
      <c r="O47" s="266"/>
    </row>
    <row r="48" spans="1:15">
      <c r="A48" s="37"/>
      <c r="B48" s="306" t="s">
        <v>83</v>
      </c>
      <c r="C48" s="306"/>
      <c r="D48" s="306"/>
      <c r="E48" s="306"/>
      <c r="F48" s="86"/>
      <c r="G48" s="79"/>
      <c r="H48" s="270"/>
      <c r="I48" s="270"/>
      <c r="J48" s="270"/>
      <c r="K48" s="266" t="s">
        <v>250</v>
      </c>
      <c r="L48" s="266"/>
      <c r="M48" s="266"/>
      <c r="N48" s="266"/>
      <c r="O48" s="266"/>
    </row>
    <row r="49" spans="1:15">
      <c r="A49" s="37"/>
      <c r="B49" s="44" t="s">
        <v>231</v>
      </c>
      <c r="C49" s="40"/>
      <c r="D49" s="40"/>
      <c r="E49" s="39">
        <v>10</v>
      </c>
      <c r="F49" s="85"/>
      <c r="G49" s="80"/>
      <c r="H49" s="321"/>
      <c r="I49" s="321"/>
      <c r="J49" s="321"/>
      <c r="K49" s="266" t="s">
        <v>251</v>
      </c>
      <c r="L49" s="266"/>
      <c r="M49" s="266"/>
      <c r="N49" s="266"/>
      <c r="O49" s="266"/>
    </row>
    <row r="50" spans="1:15">
      <c r="A50" s="37"/>
      <c r="B50" s="44" t="s">
        <v>308</v>
      </c>
      <c r="C50" s="40"/>
      <c r="D50" s="40"/>
      <c r="E50" s="39">
        <v>4</v>
      </c>
      <c r="F50" s="85"/>
      <c r="G50" s="79"/>
      <c r="H50" s="251"/>
      <c r="I50" s="251"/>
      <c r="J50" s="251"/>
      <c r="K50" s="266" t="s">
        <v>252</v>
      </c>
      <c r="L50" s="266"/>
      <c r="M50" s="266"/>
      <c r="N50" s="266"/>
      <c r="O50" s="266"/>
    </row>
    <row r="51" spans="1:15">
      <c r="A51" s="37"/>
      <c r="B51" s="261"/>
      <c r="C51" s="262"/>
      <c r="D51" s="262"/>
      <c r="E51" s="40"/>
      <c r="F51" s="85"/>
      <c r="H51" s="251"/>
      <c r="I51" s="251"/>
      <c r="J51" s="251"/>
      <c r="K51" s="266" t="s">
        <v>254</v>
      </c>
      <c r="L51" s="266"/>
      <c r="M51" s="266"/>
      <c r="N51" s="266"/>
      <c r="O51" s="266"/>
    </row>
    <row r="52" spans="1:15" ht="15" customHeight="1">
      <c r="A52" s="37"/>
      <c r="B52" s="285" t="s">
        <v>3</v>
      </c>
      <c r="C52" s="285"/>
      <c r="D52" s="285"/>
      <c r="E52" s="285"/>
      <c r="F52" s="85"/>
      <c r="H52" s="251"/>
      <c r="I52" s="251"/>
      <c r="J52" s="251"/>
      <c r="K52" s="266" t="s">
        <v>255</v>
      </c>
      <c r="L52" s="266"/>
      <c r="M52" s="266"/>
      <c r="N52" s="266"/>
      <c r="O52" s="266"/>
    </row>
    <row r="53" spans="1:15">
      <c r="A53" s="37"/>
      <c r="B53" s="283" t="s">
        <v>187</v>
      </c>
      <c r="C53" s="283"/>
      <c r="D53" s="283"/>
      <c r="E53" s="283"/>
      <c r="F53" s="85"/>
      <c r="G53" s="90"/>
      <c r="H53" s="90"/>
      <c r="I53" s="90"/>
      <c r="J53" s="90"/>
      <c r="K53" s="260"/>
      <c r="L53" s="260"/>
      <c r="M53" s="260"/>
      <c r="N53" s="260"/>
      <c r="O53" s="260"/>
    </row>
    <row r="54" spans="1:15">
      <c r="A54" s="37"/>
      <c r="B54" s="283" t="s">
        <v>188</v>
      </c>
      <c r="C54" s="284"/>
      <c r="D54" s="284"/>
      <c r="E54" s="284"/>
      <c r="F54" s="85"/>
      <c r="G54" s="344" t="s">
        <v>130</v>
      </c>
      <c r="H54" s="344"/>
      <c r="I54" s="344"/>
      <c r="J54" s="344"/>
      <c r="K54" s="344"/>
      <c r="L54" s="344"/>
      <c r="M54" s="344"/>
      <c r="N54" s="344"/>
      <c r="O54" s="344"/>
    </row>
    <row r="55" spans="1:15">
      <c r="A55" s="37"/>
      <c r="B55" s="283" t="s">
        <v>190</v>
      </c>
      <c r="C55" s="284"/>
      <c r="D55" s="284"/>
      <c r="E55" s="284"/>
      <c r="F55" s="85"/>
      <c r="H55" s="249" t="s">
        <v>295</v>
      </c>
      <c r="I55" s="258"/>
      <c r="J55" s="258"/>
      <c r="K55" s="345" t="s">
        <v>131</v>
      </c>
      <c r="L55" s="345"/>
      <c r="M55" s="345"/>
      <c r="N55" s="345"/>
      <c r="O55" s="346"/>
    </row>
    <row r="56" spans="1:15" ht="15" customHeight="1">
      <c r="A56" s="37"/>
      <c r="B56" s="294" t="s">
        <v>195</v>
      </c>
      <c r="C56" s="294"/>
      <c r="D56" s="294"/>
      <c r="E56" s="294"/>
      <c r="F56" s="85"/>
      <c r="H56" s="250"/>
      <c r="I56" s="250"/>
      <c r="J56" s="250"/>
      <c r="K56" s="67" t="s">
        <v>132</v>
      </c>
      <c r="L56" s="190"/>
      <c r="M56" s="190"/>
      <c r="N56" s="190"/>
      <c r="O56" s="190"/>
    </row>
    <row r="57" spans="1:15">
      <c r="A57" s="37"/>
      <c r="B57" s="288"/>
      <c r="C57" s="288"/>
      <c r="D57" s="288"/>
      <c r="E57" s="288"/>
      <c r="F57" s="85"/>
      <c r="H57" s="300"/>
      <c r="I57" s="300"/>
      <c r="J57" s="300"/>
      <c r="K57" s="303" t="s">
        <v>235</v>
      </c>
      <c r="L57" s="304"/>
      <c r="M57" s="304"/>
      <c r="N57" s="304"/>
      <c r="O57" s="304"/>
    </row>
    <row r="58" spans="1:15" ht="8.1" customHeight="1">
      <c r="A58" s="37"/>
      <c r="B58" s="334">
        <f ca="1">NOW()</f>
        <v>46069.632974189815</v>
      </c>
      <c r="C58" s="334"/>
      <c r="D58" s="71"/>
      <c r="E58" s="71"/>
      <c r="F58" s="85"/>
      <c r="G58" s="90"/>
      <c r="H58" s="90"/>
      <c r="I58" s="90"/>
      <c r="J58" s="90"/>
      <c r="K58" s="260"/>
      <c r="L58" s="260"/>
      <c r="M58" s="260"/>
      <c r="N58" s="260"/>
      <c r="O58" s="260"/>
    </row>
    <row r="59" spans="1:15" ht="8.1" customHeight="1">
      <c r="A59" s="37"/>
      <c r="B59" s="334"/>
      <c r="C59" s="334"/>
      <c r="D59" s="196"/>
      <c r="E59" s="196"/>
      <c r="F59" s="85"/>
      <c r="G59" s="91"/>
      <c r="H59" s="92"/>
      <c r="I59" s="92"/>
      <c r="J59" s="92"/>
      <c r="K59" s="343"/>
      <c r="L59" s="343"/>
      <c r="M59" s="343"/>
      <c r="N59" s="343"/>
      <c r="O59" s="343"/>
    </row>
    <row r="60" spans="1:15" ht="8.1" customHeight="1">
      <c r="A60" s="37"/>
      <c r="B60" s="334"/>
      <c r="C60" s="334"/>
      <c r="D60" s="69"/>
      <c r="E60" s="70"/>
      <c r="F60" s="35"/>
      <c r="G60" s="35"/>
      <c r="H60" s="35"/>
      <c r="I60" s="35"/>
      <c r="J60" s="35"/>
      <c r="K60" s="259"/>
      <c r="L60" s="259"/>
      <c r="M60" s="259"/>
      <c r="N60" s="259"/>
      <c r="O60" s="259"/>
    </row>
  </sheetData>
  <mergeCells count="77">
    <mergeCell ref="B1:E3"/>
    <mergeCell ref="K1:O1"/>
    <mergeCell ref="K2:O2"/>
    <mergeCell ref="K3:O3"/>
    <mergeCell ref="B4:E5"/>
    <mergeCell ref="G4:O4"/>
    <mergeCell ref="H5:J7"/>
    <mergeCell ref="K5:O5"/>
    <mergeCell ref="B6:E13"/>
    <mergeCell ref="K6:O7"/>
    <mergeCell ref="H8:J10"/>
    <mergeCell ref="K8:O8"/>
    <mergeCell ref="K9:O9"/>
    <mergeCell ref="H11:J12"/>
    <mergeCell ref="H13:J15"/>
    <mergeCell ref="K13:O13"/>
    <mergeCell ref="B14:D14"/>
    <mergeCell ref="K14:O17"/>
    <mergeCell ref="B15:E19"/>
    <mergeCell ref="H16:J17"/>
    <mergeCell ref="H18:J20"/>
    <mergeCell ref="K18:O18"/>
    <mergeCell ref="B20:E20"/>
    <mergeCell ref="B21:D21"/>
    <mergeCell ref="K21:O21"/>
    <mergeCell ref="G22:O22"/>
    <mergeCell ref="H23:J26"/>
    <mergeCell ref="K23:O23"/>
    <mergeCell ref="K24:L27"/>
    <mergeCell ref="M24:O27"/>
    <mergeCell ref="B25:D25"/>
    <mergeCell ref="H27:J27"/>
    <mergeCell ref="H44:J44"/>
    <mergeCell ref="H28:J29"/>
    <mergeCell ref="K28:O29"/>
    <mergeCell ref="B30:D30"/>
    <mergeCell ref="H30:J34"/>
    <mergeCell ref="K30:O30"/>
    <mergeCell ref="K31:O45"/>
    <mergeCell ref="B33:D33"/>
    <mergeCell ref="H35:J37"/>
    <mergeCell ref="H38:J38"/>
    <mergeCell ref="H39:J39"/>
    <mergeCell ref="H40:J40"/>
    <mergeCell ref="H41:J41"/>
    <mergeCell ref="B42:E42"/>
    <mergeCell ref="H42:J42"/>
    <mergeCell ref="H43:J43"/>
    <mergeCell ref="B52:E52"/>
    <mergeCell ref="H52:J52"/>
    <mergeCell ref="K52:O52"/>
    <mergeCell ref="H45:J45"/>
    <mergeCell ref="H46:J49"/>
    <mergeCell ref="K46:O46"/>
    <mergeCell ref="K47:O47"/>
    <mergeCell ref="B48:E48"/>
    <mergeCell ref="K48:O48"/>
    <mergeCell ref="K49:O49"/>
    <mergeCell ref="H50:J50"/>
    <mergeCell ref="K50:O50"/>
    <mergeCell ref="B51:D51"/>
    <mergeCell ref="H51:J51"/>
    <mergeCell ref="K51:O51"/>
    <mergeCell ref="B58:C60"/>
    <mergeCell ref="K58:O58"/>
    <mergeCell ref="K59:O59"/>
    <mergeCell ref="K60:O60"/>
    <mergeCell ref="B53:E53"/>
    <mergeCell ref="K53:O53"/>
    <mergeCell ref="B54:E54"/>
    <mergeCell ref="G54:O54"/>
    <mergeCell ref="B55:E55"/>
    <mergeCell ref="H55:J57"/>
    <mergeCell ref="K55:O55"/>
    <mergeCell ref="B56:E56"/>
    <mergeCell ref="B57:E57"/>
    <mergeCell ref="K57:O57"/>
  </mergeCells>
  <conditionalFormatting sqref="E22:E41 E49:E50 E43:E47">
    <cfRule type="dataBar" priority="1">
      <dataBar showValue="0">
        <cfvo type="num" val="0"/>
        <cfvo type="num" val="10"/>
        <color theme="4" tint="0.39997558519241921"/>
      </dataBar>
      <extLst>
        <ext xmlns:x14="http://schemas.microsoft.com/office/spreadsheetml/2009/9/main" uri="{B025F937-C7B1-47D3-B67F-A62EFF666E3E}">
          <x14:id>{C9F1AD9B-35D7-462D-A0E5-F4AA93938E93}</x14:id>
        </ext>
      </extLst>
    </cfRule>
  </conditionalFormatting>
  <hyperlinks>
    <hyperlink ref="B53" r:id="rId1" xr:uid="{CC8C4C5C-C084-4A04-A685-2AD6B6566739}"/>
    <hyperlink ref="B54" r:id="rId2" xr:uid="{C7D36E13-CFD1-4602-AA54-BD0929EBC242}"/>
    <hyperlink ref="B55" r:id="rId3" xr:uid="{BBECDC68-4AF0-4493-BE37-244F775ED048}"/>
    <hyperlink ref="H38:J38" r:id="rId4" display="http://www.sunbird.lk/" xr:uid="{DB8B4C42-77DB-4165-AFBE-97144BFC7666}"/>
    <hyperlink ref="K57" r:id="rId5" display="jserranopaul@gmail.com " xr:uid="{BE00EB30-D0C5-45D6-AFA4-6B16B53F23AB}"/>
    <hyperlink ref="K57:N57" r:id="rId6" tooltip="jorge.paul@wbscodingschool.com" display="jorge.paul@wbscodingschool.com" xr:uid="{8BD6F9CB-9C9B-40CF-AEFE-B541425A7D36}"/>
    <hyperlink ref="K10" r:id="rId7" xr:uid="{DC7A7835-3FEA-40CC-95F7-65D992CFAC8A}"/>
    <hyperlink ref="K11" r:id="rId8" display="http://vrw-gh.github.io/final-project-wd020" xr:uid="{CCCFA67E-6F32-4F55-B45C-1F43CFB8BE0A}"/>
    <hyperlink ref="K11:O11" r:id="rId9" tooltip="Sanskara Landing Page (React.js)" display="https://vrw-gh.github.io/sanskara" xr:uid="{BB195F01-35F6-40DB-9B71-1D3075675EAC}"/>
    <hyperlink ref="K12" r:id="rId10" display="http://vrw-gh.github.io/final-project-wd020" xr:uid="{08E71106-10A1-4279-8528-15300253FCA9}"/>
    <hyperlink ref="K12:O12" r:id="rId11" tooltip="Backend API (Node.js)" display="https://vrw-gh.github.io/sharemyfood-backend" xr:uid="{3E68CA81-B3D0-4876-9A13-1A04D233590F}"/>
    <hyperlink ref="K10:O10" r:id="rId12" tooltip="Share My Food App (Full-Stack App)" display="http://vrw-gh.github.io/final-project-wd020" xr:uid="{95350969-4670-448E-80FD-A244C83BC23E}"/>
  </hyperlinks>
  <printOptions horizontalCentered="1" verticalCentered="1"/>
  <pageMargins left="0" right="0" top="0" bottom="0" header="0" footer="0"/>
  <pageSetup paperSize="9" fitToHeight="0" orientation="portrait" r:id="rId13"/>
  <drawing r:id="rId14"/>
  <extLst>
    <ext xmlns:x14="http://schemas.microsoft.com/office/spreadsheetml/2009/9/main" uri="{78C0D931-6437-407d-A8EE-F0AAD7539E65}">
      <x14:conditionalFormattings>
        <x14:conditionalFormatting xmlns:xm="http://schemas.microsoft.com/office/excel/2006/main">
          <x14:cfRule type="dataBar" id="{C9F1AD9B-35D7-462D-A0E5-F4AA93938E93}">
            <x14:dataBar minLength="0" maxLength="100" border="1" gradient="0">
              <x14:cfvo type="num">
                <xm:f>0</xm:f>
              </x14:cfvo>
              <x14:cfvo type="num">
                <xm:f>10</xm:f>
              </x14:cfvo>
              <x14:borderColor theme="4" tint="-0.249977111117893"/>
              <x14:negativeFillColor rgb="FFFF0000"/>
              <x14:axisColor rgb="FF000000"/>
            </x14:dataBar>
          </x14:cfRule>
          <xm:sqref>E22:E41 E49:E50 E43:E47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FDC7-C9E2-439D-80F8-A9BE32712707}">
  <dimension ref="A1:L61"/>
  <sheetViews>
    <sheetView workbookViewId="0"/>
  </sheetViews>
  <sheetFormatPr defaultRowHeight="15"/>
  <cols>
    <col min="1" max="1" width="5.7109375" customWidth="1"/>
    <col min="12" max="12" width="5.7109375" customWidth="1"/>
  </cols>
  <sheetData>
    <row r="1" spans="1:12" ht="12" customHeight="1">
      <c r="A1" s="95"/>
      <c r="B1" s="95"/>
      <c r="C1" s="95"/>
      <c r="D1" s="95"/>
      <c r="E1" s="95"/>
      <c r="F1" s="95"/>
      <c r="G1" s="95"/>
      <c r="H1" s="95"/>
      <c r="I1" s="95"/>
      <c r="J1" s="95"/>
      <c r="K1" s="95"/>
      <c r="L1" s="95"/>
    </row>
    <row r="2" spans="1:12" ht="5.0999999999999996" customHeight="1">
      <c r="A2" s="95"/>
      <c r="B2" s="95"/>
      <c r="C2" s="95"/>
      <c r="D2" s="95"/>
      <c r="E2" s="95"/>
      <c r="F2" s="95"/>
      <c r="G2" s="95"/>
      <c r="H2" s="95"/>
      <c r="I2" s="95"/>
      <c r="J2" s="95"/>
      <c r="K2" s="95"/>
      <c r="L2" s="95"/>
    </row>
    <row r="3" spans="1:12" ht="15" customHeight="1">
      <c r="A3" s="95"/>
      <c r="B3" s="95"/>
      <c r="C3" s="95"/>
      <c r="D3" s="95"/>
      <c r="E3" s="95"/>
      <c r="F3" s="95"/>
      <c r="G3" s="95"/>
      <c r="H3" s="95"/>
      <c r="I3" s="95"/>
      <c r="J3" s="95"/>
      <c r="K3" s="95"/>
      <c r="L3" s="95"/>
    </row>
    <row r="4" spans="1:12">
      <c r="A4" s="95"/>
      <c r="B4" s="95"/>
      <c r="C4" s="95"/>
      <c r="D4" s="95"/>
      <c r="E4" s="95"/>
      <c r="F4" s="95"/>
      <c r="G4" s="95"/>
      <c r="H4" s="95"/>
      <c r="I4" s="95"/>
      <c r="J4" s="95"/>
      <c r="K4" s="95"/>
      <c r="L4" s="95"/>
    </row>
    <row r="5" spans="1:12">
      <c r="A5" s="95"/>
      <c r="B5" s="95"/>
      <c r="C5" s="95"/>
      <c r="D5" s="95"/>
      <c r="E5" s="95"/>
      <c r="F5" s="95"/>
      <c r="G5" s="95"/>
      <c r="H5" s="95"/>
      <c r="I5" s="95"/>
      <c r="J5" s="95"/>
      <c r="K5" s="95"/>
      <c r="L5" s="95"/>
    </row>
    <row r="7" spans="1:12" ht="23.25">
      <c r="C7" s="98"/>
      <c r="D7" s="98"/>
      <c r="E7" s="117" t="s">
        <v>137</v>
      </c>
      <c r="H7" s="108" t="s">
        <v>1</v>
      </c>
      <c r="I7" s="98"/>
      <c r="J7" s="98"/>
      <c r="K7" s="98"/>
    </row>
    <row r="8" spans="1:12" ht="15" customHeight="1">
      <c r="B8" s="98"/>
      <c r="C8" s="98"/>
      <c r="D8" s="98"/>
      <c r="E8" s="98"/>
      <c r="H8" s="98"/>
      <c r="I8" s="98"/>
      <c r="J8" s="98"/>
      <c r="K8" s="98"/>
    </row>
    <row r="9" spans="1:12" ht="15" customHeight="1">
      <c r="B9" s="265"/>
      <c r="C9" s="265"/>
      <c r="D9" s="265"/>
      <c r="E9" s="265"/>
    </row>
    <row r="10" spans="1:12">
      <c r="A10" s="96"/>
      <c r="B10" s="96"/>
      <c r="C10" s="96"/>
      <c r="D10" s="96"/>
      <c r="E10" s="96"/>
      <c r="F10" s="96"/>
      <c r="G10" s="96"/>
      <c r="H10" s="96"/>
      <c r="I10" s="96"/>
      <c r="J10" s="96"/>
      <c r="K10" s="96"/>
      <c r="L10" s="96"/>
    </row>
    <row r="11" spans="1:12">
      <c r="A11" s="96"/>
      <c r="B11" s="112" t="s">
        <v>190</v>
      </c>
      <c r="C11" s="96"/>
      <c r="D11" s="96"/>
      <c r="E11" s="96"/>
      <c r="F11" s="112" t="s">
        <v>3</v>
      </c>
      <c r="G11" s="96"/>
      <c r="H11" s="96"/>
      <c r="I11" s="106" t="s">
        <v>315</v>
      </c>
      <c r="J11" s="96"/>
      <c r="K11" s="96"/>
      <c r="L11" s="96"/>
    </row>
    <row r="12" spans="1:12" ht="3.95" customHeight="1">
      <c r="A12" s="96"/>
      <c r="B12" s="112"/>
      <c r="C12" s="96"/>
      <c r="D12" s="96"/>
      <c r="E12" s="96"/>
      <c r="F12" s="112"/>
      <c r="G12" s="96"/>
      <c r="H12" s="96"/>
      <c r="I12" s="357" t="s">
        <v>316</v>
      </c>
      <c r="J12" s="358"/>
      <c r="K12" s="358"/>
      <c r="L12" s="358"/>
    </row>
    <row r="13" spans="1:12" ht="15" customHeight="1">
      <c r="A13" s="96"/>
      <c r="B13" s="106" t="s">
        <v>317</v>
      </c>
      <c r="C13" s="96"/>
      <c r="D13" s="96"/>
      <c r="E13" s="96"/>
      <c r="F13" s="106" t="s">
        <v>318</v>
      </c>
      <c r="G13" s="96"/>
      <c r="H13" s="96"/>
      <c r="I13" s="357"/>
      <c r="J13" s="358"/>
      <c r="K13" s="358"/>
      <c r="L13" s="358"/>
    </row>
    <row r="14" spans="1:12" ht="15" customHeight="1">
      <c r="A14" s="96"/>
      <c r="B14" s="109" t="s">
        <v>319</v>
      </c>
      <c r="C14" s="96"/>
      <c r="D14" s="96"/>
      <c r="E14" s="96"/>
      <c r="F14" s="109" t="s">
        <v>320</v>
      </c>
      <c r="G14" s="96"/>
      <c r="H14" s="96"/>
      <c r="I14" s="96"/>
      <c r="J14" s="96"/>
      <c r="K14" s="96"/>
      <c r="L14" s="96"/>
    </row>
    <row r="15" spans="1:12">
      <c r="A15" s="96"/>
      <c r="B15" s="96"/>
      <c r="C15" s="96"/>
      <c r="D15" s="96"/>
      <c r="E15" s="96"/>
      <c r="F15" s="96"/>
      <c r="G15" s="96"/>
      <c r="H15" s="96"/>
      <c r="I15" s="96"/>
      <c r="J15" s="96"/>
      <c r="K15" s="96"/>
      <c r="L15" s="96"/>
    </row>
    <row r="16" spans="1:12" ht="15" customHeight="1">
      <c r="A16" s="97"/>
      <c r="B16" s="97"/>
      <c r="C16" s="97"/>
      <c r="D16" s="97"/>
      <c r="E16" s="97"/>
      <c r="F16" s="97"/>
      <c r="G16" s="97"/>
      <c r="H16" s="97"/>
      <c r="I16" s="97"/>
      <c r="J16" s="97"/>
      <c r="K16" s="97"/>
      <c r="L16" s="97"/>
    </row>
    <row r="17" spans="1:12">
      <c r="A17" s="103"/>
      <c r="B17" s="97" t="s">
        <v>160</v>
      </c>
      <c r="C17" s="97"/>
      <c r="D17" s="97"/>
      <c r="E17" s="97" t="s">
        <v>321</v>
      </c>
      <c r="F17" s="97"/>
      <c r="G17" s="97"/>
      <c r="H17" s="97" t="s">
        <v>322</v>
      </c>
      <c r="I17" s="97"/>
      <c r="J17" s="110" t="s">
        <v>175</v>
      </c>
      <c r="K17" s="97"/>
      <c r="L17" s="97"/>
    </row>
    <row r="18" spans="1:12" ht="15" customHeight="1">
      <c r="A18" s="97"/>
      <c r="B18" s="97" t="s">
        <v>323</v>
      </c>
      <c r="C18" s="97"/>
      <c r="D18" s="97"/>
      <c r="E18" s="97" t="s">
        <v>166</v>
      </c>
      <c r="F18" s="97"/>
      <c r="G18" s="97"/>
      <c r="H18" s="97" t="s">
        <v>324</v>
      </c>
      <c r="I18" s="97"/>
      <c r="J18" s="110" t="s">
        <v>325</v>
      </c>
      <c r="K18" s="97"/>
      <c r="L18" s="97"/>
    </row>
    <row r="19" spans="1:12">
      <c r="A19" s="97"/>
      <c r="B19" s="97" t="s">
        <v>302</v>
      </c>
      <c r="C19" s="97"/>
      <c r="D19" s="97"/>
      <c r="E19" s="97" t="s">
        <v>168</v>
      </c>
      <c r="F19" s="97"/>
      <c r="G19" s="97"/>
      <c r="H19" s="97" t="s">
        <v>173</v>
      </c>
      <c r="I19" s="97"/>
      <c r="J19" s="110" t="s">
        <v>208</v>
      </c>
      <c r="K19" s="97"/>
      <c r="L19" s="97"/>
    </row>
    <row r="20" spans="1:12" ht="15" customHeight="1">
      <c r="A20" s="97"/>
      <c r="B20" s="97" t="s">
        <v>167</v>
      </c>
      <c r="C20" s="97"/>
      <c r="D20" s="97"/>
      <c r="E20" s="97" t="s">
        <v>183</v>
      </c>
      <c r="F20" s="97"/>
      <c r="G20" s="97"/>
      <c r="I20" s="97"/>
      <c r="J20" s="110" t="s">
        <v>326</v>
      </c>
      <c r="K20" s="97"/>
      <c r="L20" s="97"/>
    </row>
    <row r="21" spans="1:12">
      <c r="A21" s="97"/>
      <c r="B21" s="97"/>
      <c r="D21" s="97"/>
      <c r="E21" s="97"/>
      <c r="F21" s="97"/>
      <c r="G21" s="97"/>
      <c r="H21" s="97"/>
      <c r="I21" s="97"/>
      <c r="J21" s="97"/>
      <c r="K21" s="97"/>
      <c r="L21" s="97"/>
    </row>
    <row r="22" spans="1:12">
      <c r="A22" s="103"/>
      <c r="B22" t="s">
        <v>327</v>
      </c>
      <c r="D22" s="97"/>
      <c r="E22" s="97"/>
      <c r="F22" s="97"/>
      <c r="G22" s="97"/>
      <c r="H22" s="97"/>
      <c r="I22" s="97"/>
      <c r="J22" s="97"/>
      <c r="K22" s="97"/>
      <c r="L22" s="97"/>
    </row>
    <row r="23" spans="1:12" ht="12" customHeight="1">
      <c r="A23" s="97"/>
      <c r="B23" s="97"/>
      <c r="D23" s="97"/>
      <c r="E23" s="97"/>
      <c r="F23" s="97"/>
      <c r="G23" s="97"/>
      <c r="H23" s="97"/>
      <c r="I23" s="97"/>
      <c r="J23" s="97"/>
      <c r="K23" s="97"/>
      <c r="L23" s="97"/>
    </row>
    <row r="24" spans="1:12" ht="21.95" customHeight="1" thickBot="1">
      <c r="A24" s="113" t="s">
        <v>328</v>
      </c>
      <c r="B24" s="100"/>
      <c r="C24" s="100"/>
      <c r="D24" s="100"/>
      <c r="E24" s="100"/>
      <c r="F24" s="100"/>
      <c r="G24" s="100"/>
      <c r="H24" s="100"/>
      <c r="I24" s="100"/>
      <c r="J24" s="100"/>
      <c r="K24" s="101"/>
      <c r="L24" s="100"/>
    </row>
    <row r="25" spans="1:12" ht="12" customHeight="1" thickTop="1">
      <c r="A25" s="97"/>
      <c r="B25" s="97"/>
      <c r="D25" s="97"/>
      <c r="E25" s="97"/>
      <c r="F25" s="97"/>
      <c r="G25" s="97"/>
      <c r="H25" s="97"/>
      <c r="I25" s="97"/>
      <c r="J25" s="97"/>
      <c r="L25" s="97"/>
    </row>
    <row r="26" spans="1:12">
      <c r="A26" s="97"/>
      <c r="B26" s="114" t="s">
        <v>187</v>
      </c>
      <c r="E26" s="97"/>
      <c r="F26" s="97"/>
      <c r="G26" s="99" t="s">
        <v>329</v>
      </c>
      <c r="I26" s="97"/>
      <c r="J26" s="97"/>
      <c r="K26" s="97"/>
      <c r="L26" s="97"/>
    </row>
    <row r="27" spans="1:12">
      <c r="A27" s="97"/>
      <c r="B27" s="115"/>
      <c r="C27" s="97"/>
      <c r="E27" s="97"/>
      <c r="F27" s="97"/>
      <c r="G27" s="107" t="s">
        <v>330</v>
      </c>
      <c r="I27" s="97"/>
      <c r="J27" s="97"/>
      <c r="K27" s="97"/>
      <c r="L27" s="97"/>
    </row>
    <row r="28" spans="1:12" ht="15" customHeight="1">
      <c r="A28" s="97"/>
      <c r="B28" s="114" t="s">
        <v>331</v>
      </c>
      <c r="C28" s="97"/>
      <c r="D28" s="97"/>
      <c r="E28" s="97"/>
      <c r="F28" s="97"/>
      <c r="G28" s="99" t="s">
        <v>332</v>
      </c>
      <c r="I28" s="97"/>
      <c r="J28" s="97"/>
      <c r="K28" s="97"/>
      <c r="L28" s="97"/>
    </row>
    <row r="29" spans="1:12" ht="15" customHeight="1">
      <c r="A29" s="97"/>
      <c r="B29" s="115"/>
      <c r="C29" s="97"/>
      <c r="D29" s="97"/>
      <c r="E29" s="97"/>
      <c r="F29" s="97"/>
      <c r="G29" s="107" t="s">
        <v>333</v>
      </c>
      <c r="I29" s="97"/>
      <c r="J29" s="97"/>
      <c r="K29" s="97"/>
      <c r="L29" s="97"/>
    </row>
    <row r="30" spans="1:12">
      <c r="A30" s="97"/>
      <c r="B30" s="114" t="s">
        <v>334</v>
      </c>
      <c r="C30" s="97"/>
      <c r="D30" s="97"/>
      <c r="E30" s="97"/>
      <c r="F30" s="97"/>
      <c r="G30" s="99" t="s">
        <v>335</v>
      </c>
      <c r="I30" s="97"/>
      <c r="J30" s="97"/>
      <c r="K30" s="97"/>
      <c r="L30" s="97"/>
    </row>
    <row r="31" spans="1:12">
      <c r="A31" s="97"/>
      <c r="B31" s="116"/>
      <c r="C31" s="97"/>
      <c r="D31" s="97"/>
      <c r="E31" s="97"/>
      <c r="F31" s="97"/>
      <c r="G31" s="107" t="s">
        <v>336</v>
      </c>
      <c r="I31" s="97"/>
      <c r="J31" s="97"/>
      <c r="K31" s="97"/>
      <c r="L31" s="97"/>
    </row>
    <row r="32" spans="1:12" ht="21.95" customHeight="1" thickBot="1">
      <c r="A32" s="113" t="s">
        <v>337</v>
      </c>
      <c r="B32" s="100"/>
      <c r="C32" s="100"/>
      <c r="D32" s="100"/>
      <c r="E32" s="100"/>
      <c r="F32" s="100"/>
      <c r="G32" s="100"/>
      <c r="H32" s="100"/>
      <c r="I32" s="100"/>
      <c r="J32" s="100"/>
      <c r="K32" s="101"/>
      <c r="L32" s="100"/>
    </row>
    <row r="33" spans="1:12" ht="12" customHeight="1" thickTop="1">
      <c r="A33" s="97"/>
      <c r="B33" s="97"/>
      <c r="C33" s="97"/>
      <c r="D33" s="97"/>
      <c r="E33" s="97"/>
      <c r="F33" s="97"/>
      <c r="G33" s="97"/>
      <c r="H33" s="97"/>
      <c r="I33" s="97"/>
      <c r="J33" s="97"/>
      <c r="K33" s="97"/>
      <c r="L33" s="97"/>
    </row>
    <row r="34" spans="1:12" ht="15" customHeight="1">
      <c r="A34" s="103"/>
      <c r="B34" s="97" t="s">
        <v>338</v>
      </c>
      <c r="C34" s="97"/>
      <c r="D34" s="99" t="s">
        <v>339</v>
      </c>
      <c r="E34" s="97"/>
      <c r="F34" s="97"/>
      <c r="G34" s="97"/>
      <c r="H34" s="97"/>
      <c r="I34" s="97"/>
      <c r="J34" s="97"/>
      <c r="K34" s="97"/>
      <c r="L34" s="97"/>
    </row>
    <row r="35" spans="1:12" ht="15" customHeight="1">
      <c r="A35" s="97"/>
      <c r="B35" s="97"/>
      <c r="C35" s="97"/>
      <c r="D35" s="99" t="s">
        <v>340</v>
      </c>
      <c r="E35" s="97"/>
      <c r="F35" s="97"/>
      <c r="G35" s="97"/>
      <c r="H35" s="97"/>
      <c r="I35" s="97"/>
      <c r="J35" s="97"/>
      <c r="K35" s="97"/>
      <c r="L35" s="97"/>
    </row>
    <row r="36" spans="1:12" ht="15" customHeight="1">
      <c r="A36" s="97"/>
      <c r="B36" s="97"/>
      <c r="C36" s="102" t="s">
        <v>341</v>
      </c>
      <c r="D36" s="104" t="s">
        <v>342</v>
      </c>
      <c r="E36" s="97"/>
      <c r="F36" s="97"/>
      <c r="G36" s="97"/>
      <c r="H36" s="97"/>
      <c r="I36" s="97"/>
      <c r="J36" s="97"/>
      <c r="K36" s="97"/>
      <c r="L36" s="97"/>
    </row>
    <row r="37" spans="1:12" ht="15" customHeight="1">
      <c r="C37" s="97"/>
      <c r="D37" s="104" t="s">
        <v>343</v>
      </c>
      <c r="E37" s="97"/>
      <c r="F37" s="97"/>
      <c r="G37" s="97"/>
      <c r="H37" s="97"/>
      <c r="I37" s="97"/>
      <c r="J37" s="97"/>
      <c r="K37" s="97"/>
      <c r="L37" s="97"/>
    </row>
    <row r="38" spans="1:12" ht="15" customHeight="1">
      <c r="A38" s="97"/>
      <c r="B38" s="97"/>
      <c r="C38" s="97"/>
      <c r="D38" s="97"/>
      <c r="E38" s="97"/>
      <c r="F38" s="97"/>
      <c r="G38" s="97"/>
      <c r="H38" s="97"/>
      <c r="I38" s="97"/>
      <c r="J38" s="97"/>
      <c r="K38" s="97"/>
      <c r="L38" s="97"/>
    </row>
    <row r="39" spans="1:12">
      <c r="A39" s="103"/>
      <c r="B39" s="97" t="s">
        <v>344</v>
      </c>
      <c r="C39" s="97"/>
      <c r="D39" s="99" t="s">
        <v>345</v>
      </c>
      <c r="E39" s="97"/>
      <c r="F39" s="97"/>
      <c r="G39" s="97"/>
      <c r="H39" s="97"/>
      <c r="I39" s="97"/>
      <c r="J39" s="97"/>
      <c r="K39" s="97"/>
      <c r="L39" s="97"/>
    </row>
    <row r="40" spans="1:12" ht="15" customHeight="1">
      <c r="A40" s="97"/>
      <c r="B40" s="97"/>
      <c r="C40" s="97"/>
      <c r="D40" s="99" t="s">
        <v>346</v>
      </c>
      <c r="E40" s="97"/>
      <c r="F40" s="97"/>
      <c r="G40" s="97"/>
      <c r="H40" s="97"/>
      <c r="I40" s="97"/>
      <c r="J40" s="97"/>
      <c r="K40" s="97"/>
      <c r="L40" s="97"/>
    </row>
    <row r="41" spans="1:12" ht="15" customHeight="1">
      <c r="A41" s="97"/>
      <c r="B41" s="97"/>
      <c r="C41" s="102" t="s">
        <v>341</v>
      </c>
      <c r="D41" s="104" t="s">
        <v>347</v>
      </c>
      <c r="E41" s="97"/>
      <c r="F41" s="97"/>
      <c r="G41" s="97"/>
      <c r="H41" s="97"/>
      <c r="I41" s="97"/>
      <c r="J41" s="97"/>
      <c r="K41" s="97"/>
      <c r="L41" s="97"/>
    </row>
    <row r="42" spans="1:12" ht="15" customHeight="1">
      <c r="A42" s="97"/>
      <c r="B42" s="97"/>
      <c r="C42" s="102" t="s">
        <v>341</v>
      </c>
      <c r="D42" s="104" t="s">
        <v>348</v>
      </c>
      <c r="E42" s="97"/>
      <c r="F42" s="97"/>
      <c r="G42" s="97"/>
      <c r="H42" s="97"/>
      <c r="I42" s="97"/>
      <c r="J42" s="97"/>
      <c r="K42" s="97"/>
      <c r="L42" s="97"/>
    </row>
    <row r="43" spans="1:12">
      <c r="A43" s="97"/>
      <c r="B43" s="97"/>
      <c r="C43" s="102" t="s">
        <v>341</v>
      </c>
      <c r="D43" s="104" t="s">
        <v>349</v>
      </c>
      <c r="E43" s="97"/>
      <c r="F43" s="97"/>
      <c r="G43" s="97"/>
      <c r="H43" s="97"/>
      <c r="I43" s="97"/>
      <c r="J43" s="97"/>
      <c r="K43" s="97"/>
      <c r="L43" s="97"/>
    </row>
    <row r="44" spans="1:12">
      <c r="A44" s="97"/>
      <c r="B44" s="97"/>
      <c r="C44" s="102"/>
      <c r="D44" s="104" t="s">
        <v>350</v>
      </c>
      <c r="E44" s="97"/>
      <c r="F44" s="97"/>
      <c r="G44" s="97"/>
      <c r="H44" s="97"/>
      <c r="I44" s="97"/>
      <c r="J44" s="97"/>
      <c r="K44" s="97"/>
      <c r="L44" s="97"/>
    </row>
    <row r="45" spans="1:12">
      <c r="A45" s="97"/>
      <c r="B45" s="97"/>
      <c r="C45" s="102" t="s">
        <v>341</v>
      </c>
      <c r="D45" s="104" t="s">
        <v>351</v>
      </c>
      <c r="E45" s="97"/>
      <c r="F45" s="97"/>
      <c r="G45" s="97"/>
      <c r="H45" s="97"/>
      <c r="I45" s="97"/>
      <c r="J45" s="97"/>
      <c r="K45" s="97"/>
      <c r="L45" s="97"/>
    </row>
    <row r="46" spans="1:12" ht="15" customHeight="1">
      <c r="A46" s="97"/>
      <c r="B46" s="97"/>
      <c r="C46" s="102"/>
      <c r="D46" s="104" t="s">
        <v>352</v>
      </c>
      <c r="E46" s="97"/>
      <c r="F46" s="97"/>
      <c r="G46" s="97"/>
      <c r="H46" s="97"/>
      <c r="I46" s="97"/>
      <c r="J46" s="97"/>
      <c r="K46" s="97"/>
      <c r="L46" s="97"/>
    </row>
    <row r="47" spans="1:12" ht="21.95" customHeight="1" thickBot="1">
      <c r="A47" s="113" t="s">
        <v>353</v>
      </c>
      <c r="B47" s="100"/>
      <c r="C47" s="100"/>
      <c r="D47" s="100"/>
      <c r="E47" s="100"/>
      <c r="F47" s="100"/>
      <c r="G47" s="100"/>
      <c r="H47" s="105"/>
      <c r="I47" s="100"/>
      <c r="J47" s="100"/>
      <c r="K47" s="101"/>
      <c r="L47" s="100"/>
    </row>
    <row r="48" spans="1:12" ht="12" customHeight="1" thickTop="1">
      <c r="A48" s="97"/>
      <c r="B48" s="97"/>
      <c r="C48" s="97"/>
      <c r="D48" s="97"/>
      <c r="E48" s="97"/>
      <c r="F48" s="97"/>
      <c r="G48" s="97"/>
      <c r="H48" s="97"/>
      <c r="I48" s="97"/>
      <c r="J48" s="97"/>
      <c r="K48" s="97"/>
      <c r="L48" s="97"/>
    </row>
    <row r="49" spans="1:12" ht="18" customHeight="1">
      <c r="A49" s="97" t="s">
        <v>261</v>
      </c>
      <c r="B49" s="114" t="s">
        <v>354</v>
      </c>
      <c r="C49" s="97"/>
      <c r="D49" s="97"/>
      <c r="E49" s="97"/>
      <c r="F49" s="97"/>
      <c r="G49" s="104" t="s">
        <v>355</v>
      </c>
      <c r="H49" s="97"/>
      <c r="I49" s="97"/>
      <c r="J49" s="97"/>
      <c r="L49" s="97"/>
    </row>
    <row r="50" spans="1:12" ht="18" customHeight="1">
      <c r="A50" s="97" t="s">
        <v>261</v>
      </c>
      <c r="B50" s="114" t="s">
        <v>356</v>
      </c>
      <c r="C50" s="97"/>
      <c r="D50" s="97"/>
      <c r="E50" s="97"/>
      <c r="F50" s="97"/>
      <c r="G50" s="104" t="s">
        <v>357</v>
      </c>
      <c r="H50" s="97"/>
      <c r="I50" s="97"/>
      <c r="J50" s="97"/>
      <c r="K50" s="97"/>
      <c r="L50" s="97"/>
    </row>
    <row r="51" spans="1:12" ht="18" customHeight="1">
      <c r="A51" s="97" t="s">
        <v>261</v>
      </c>
      <c r="B51" s="114" t="s">
        <v>284</v>
      </c>
      <c r="C51" s="97"/>
      <c r="D51" s="97"/>
      <c r="E51" s="97"/>
      <c r="F51" s="97"/>
      <c r="G51" s="104" t="s">
        <v>358</v>
      </c>
      <c r="H51" s="97"/>
      <c r="I51" s="97"/>
      <c r="J51" s="97"/>
      <c r="K51" s="97"/>
      <c r="L51" s="97"/>
    </row>
    <row r="52" spans="1:12" ht="18" customHeight="1">
      <c r="A52" s="97" t="s">
        <v>261</v>
      </c>
      <c r="B52" s="114" t="s">
        <v>359</v>
      </c>
      <c r="C52" s="97"/>
      <c r="D52" s="97"/>
      <c r="E52" s="97"/>
      <c r="F52" s="97"/>
      <c r="G52" s="104" t="s">
        <v>360</v>
      </c>
      <c r="H52" s="97"/>
      <c r="I52" s="97"/>
      <c r="J52" s="97"/>
      <c r="K52" s="97"/>
      <c r="L52" s="97"/>
    </row>
    <row r="53" spans="1:12" ht="18" customHeight="1">
      <c r="A53" s="97" t="s">
        <v>261</v>
      </c>
      <c r="B53" s="114" t="s">
        <v>76</v>
      </c>
      <c r="C53" s="97"/>
      <c r="D53" s="97"/>
      <c r="E53" s="97"/>
      <c r="F53" s="97"/>
      <c r="G53" s="104" t="s">
        <v>361</v>
      </c>
      <c r="K53" s="97"/>
      <c r="L53" s="97"/>
    </row>
    <row r="54" spans="1:12" ht="18" customHeight="1">
      <c r="A54" s="97" t="s">
        <v>261</v>
      </c>
      <c r="B54" s="114" t="s">
        <v>286</v>
      </c>
      <c r="C54" s="97"/>
      <c r="D54" s="97"/>
      <c r="E54" s="97"/>
      <c r="F54" s="97"/>
      <c r="G54" s="104" t="s">
        <v>362</v>
      </c>
      <c r="H54" s="97"/>
      <c r="I54" s="97"/>
      <c r="J54" s="97"/>
      <c r="K54" s="97"/>
      <c r="L54" s="97"/>
    </row>
    <row r="55" spans="1:12" ht="18" customHeight="1">
      <c r="A55" s="97"/>
      <c r="B55" s="116"/>
      <c r="C55" s="97"/>
      <c r="D55" s="97"/>
      <c r="E55" s="97"/>
      <c r="F55" s="97"/>
      <c r="G55" s="97"/>
      <c r="H55" s="97"/>
      <c r="I55" s="97"/>
      <c r="J55" s="97"/>
      <c r="K55" s="97"/>
      <c r="L55" s="97"/>
    </row>
    <row r="56" spans="1:12" ht="18" customHeight="1">
      <c r="B56" s="97"/>
      <c r="C56" s="97"/>
      <c r="D56" s="97"/>
      <c r="E56" s="97"/>
      <c r="F56" s="97"/>
      <c r="G56" s="97"/>
      <c r="I56" s="97"/>
      <c r="J56" s="102" t="s">
        <v>363</v>
      </c>
      <c r="L56" s="118" t="str">
        <f ca="1">TEXT(NOW(),"TT. MMM. JJJJ")</f>
        <v>16. Feb. 2026</v>
      </c>
    </row>
    <row r="57" spans="1:12" ht="3.95" customHeight="1">
      <c r="B57" s="111"/>
      <c r="C57" s="97"/>
      <c r="D57" s="97"/>
      <c r="E57" s="97"/>
      <c r="F57" s="97"/>
      <c r="G57" s="97"/>
      <c r="H57" s="97"/>
      <c r="I57" s="97"/>
      <c r="J57" s="97"/>
      <c r="K57" s="97"/>
      <c r="L57" s="97"/>
    </row>
    <row r="61" spans="1:12">
      <c r="H61" s="97"/>
      <c r="I61" s="97"/>
      <c r="J61" s="97"/>
      <c r="K61" s="97"/>
    </row>
  </sheetData>
  <mergeCells count="2">
    <mergeCell ref="B9:E9"/>
    <mergeCell ref="I12:L13"/>
  </mergeCells>
  <hyperlinks>
    <hyperlink ref="B28" r:id="rId1" xr:uid="{C2223630-BC32-4CCF-86EF-602C4AFCB473}"/>
    <hyperlink ref="B26" r:id="rId2" xr:uid="{84E7C5CB-F976-4FE2-9ECE-251DEA614E71}"/>
    <hyperlink ref="B30" r:id="rId3" xr:uid="{D46845C6-D9BE-492F-9C3A-E08FE84F065B}"/>
    <hyperlink ref="B53" r:id="rId4" xr:uid="{13C4A9C9-A73C-4FED-9D14-B6860AAECDDF}"/>
    <hyperlink ref="B52" r:id="rId5" xr:uid="{B563399F-87B1-481A-A4B8-2466E209751F}"/>
    <hyperlink ref="B54" r:id="rId6" xr:uid="{598CDA0F-D8B4-4AC8-8F3D-EB47BED9124E}"/>
    <hyperlink ref="B51" r:id="rId7" xr:uid="{6DD10920-A401-49CA-BA9D-39028A9E7BD4}"/>
    <hyperlink ref="B11" r:id="rId8" xr:uid="{27318561-0E26-4F69-B721-C54625BD9747}"/>
    <hyperlink ref="F11" r:id="rId9" xr:uid="{1F50CA93-021F-451E-8E70-0C68CBAE7150}"/>
    <hyperlink ref="B49" r:id="rId10" xr:uid="{70C49F33-173F-407F-8432-CE1780CF7B45}"/>
    <hyperlink ref="B50" r:id="rId11" xr:uid="{AE4140B5-2D75-4E9E-B47D-5FA60A04694D}"/>
  </hyperlinks>
  <printOptions horizontalCentered="1" verticalCentered="1"/>
  <pageMargins left="0" right="0" top="0" bottom="0" header="0" footer="0"/>
  <pageSetup paperSize="9" orientation="portrait" r:id="rId12"/>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1B04-CEBE-41EF-9658-881F9E6EA6D8}">
  <dimension ref="A1:L61"/>
  <sheetViews>
    <sheetView topLeftCell="A32" workbookViewId="0"/>
  </sheetViews>
  <sheetFormatPr defaultRowHeight="15"/>
  <cols>
    <col min="1" max="1" width="5.7109375" customWidth="1"/>
    <col min="12" max="12" width="5.7109375" customWidth="1"/>
  </cols>
  <sheetData>
    <row r="1" spans="1:12" ht="8.1" customHeight="1">
      <c r="A1" s="95"/>
      <c r="B1" s="95"/>
      <c r="C1" s="95"/>
      <c r="D1" s="95"/>
      <c r="E1" s="95"/>
      <c r="F1" s="95"/>
      <c r="G1" s="95"/>
      <c r="H1" s="95"/>
      <c r="I1" s="95"/>
      <c r="J1" s="95"/>
      <c r="K1" s="95"/>
      <c r="L1" s="95"/>
    </row>
    <row r="2" spans="1:12" ht="15" customHeight="1">
      <c r="A2" s="95"/>
      <c r="B2" s="95"/>
      <c r="C2" s="95"/>
      <c r="D2" s="95"/>
      <c r="E2" s="95"/>
      <c r="F2" s="95"/>
      <c r="G2" s="95"/>
      <c r="H2" s="95"/>
      <c r="I2" s="95"/>
      <c r="J2" s="95"/>
      <c r="K2" s="95"/>
      <c r="L2" s="95"/>
    </row>
    <row r="3" spans="1:12" ht="15" customHeight="1">
      <c r="A3" s="95"/>
      <c r="B3" s="95"/>
      <c r="C3" s="95"/>
      <c r="D3" s="95"/>
      <c r="E3" s="95"/>
      <c r="F3" s="95"/>
      <c r="G3" s="95"/>
      <c r="H3" s="95"/>
      <c r="I3" s="95"/>
      <c r="J3" s="95"/>
      <c r="K3" s="95"/>
      <c r="L3" s="95"/>
    </row>
    <row r="4" spans="1:12" ht="15" customHeight="1">
      <c r="A4" s="95"/>
      <c r="B4" s="95"/>
      <c r="C4" s="95"/>
      <c r="D4" s="95"/>
      <c r="E4" s="95"/>
      <c r="F4" s="95"/>
      <c r="G4" s="95"/>
      <c r="H4" s="95"/>
      <c r="I4" s="95"/>
      <c r="J4" s="95"/>
      <c r="K4" s="95"/>
      <c r="L4" s="95"/>
    </row>
    <row r="5" spans="1:12">
      <c r="D5" s="360" t="s">
        <v>364</v>
      </c>
      <c r="E5" s="360"/>
      <c r="F5" s="360"/>
      <c r="G5" s="360"/>
    </row>
    <row r="6" spans="1:12" ht="23.25">
      <c r="C6" s="98"/>
      <c r="D6" s="360"/>
      <c r="E6" s="360"/>
      <c r="F6" s="360"/>
      <c r="G6" s="360"/>
      <c r="H6" s="130" t="s">
        <v>1</v>
      </c>
      <c r="I6" s="98"/>
      <c r="J6" s="98"/>
      <c r="K6" s="98"/>
    </row>
    <row r="7" spans="1:12" ht="15" customHeight="1">
      <c r="B7" s="98"/>
      <c r="C7" s="98"/>
      <c r="D7" s="98"/>
      <c r="E7" s="98"/>
      <c r="H7" s="98"/>
      <c r="I7" s="98"/>
      <c r="J7" s="98"/>
      <c r="K7" s="98"/>
    </row>
    <row r="8" spans="1:12" ht="5.0999999999999996" customHeight="1">
      <c r="B8" s="265"/>
      <c r="C8" s="265"/>
      <c r="D8" s="265"/>
      <c r="E8" s="265"/>
    </row>
    <row r="9" spans="1:12">
      <c r="A9" s="96"/>
      <c r="B9" s="96"/>
      <c r="C9" s="96"/>
      <c r="D9" s="96"/>
      <c r="E9" s="96"/>
      <c r="F9" s="96"/>
      <c r="G9" s="96"/>
      <c r="H9" s="96"/>
      <c r="I9" s="96"/>
      <c r="J9" s="96"/>
      <c r="K9" s="96"/>
      <c r="L9" s="96"/>
    </row>
    <row r="10" spans="1:12">
      <c r="A10" s="359"/>
      <c r="B10" s="106" t="s">
        <v>365</v>
      </c>
      <c r="C10" s="96"/>
      <c r="D10" s="96"/>
      <c r="E10" s="96"/>
      <c r="F10" s="112" t="s">
        <v>3</v>
      </c>
      <c r="G10" s="96"/>
      <c r="H10" s="96"/>
      <c r="I10" s="359"/>
      <c r="J10" s="106" t="s">
        <v>318</v>
      </c>
      <c r="K10" s="96"/>
      <c r="L10" s="96"/>
    </row>
    <row r="11" spans="1:12" ht="15" customHeight="1">
      <c r="A11" s="359"/>
      <c r="B11" s="109" t="s">
        <v>319</v>
      </c>
      <c r="C11" s="96"/>
      <c r="D11" s="96"/>
      <c r="E11" s="96"/>
      <c r="F11" s="112" t="s">
        <v>190</v>
      </c>
      <c r="G11" s="96"/>
      <c r="H11" s="96"/>
      <c r="I11" s="359"/>
      <c r="J11" s="109" t="s">
        <v>320</v>
      </c>
      <c r="K11" s="96"/>
      <c r="L11" s="96"/>
    </row>
    <row r="12" spans="1:12">
      <c r="A12" s="96"/>
      <c r="B12" s="96"/>
      <c r="C12" s="96"/>
      <c r="D12" s="96"/>
      <c r="E12" s="96"/>
      <c r="F12" s="96"/>
      <c r="G12" s="96"/>
      <c r="H12" s="96"/>
      <c r="I12" s="96"/>
      <c r="J12" s="96"/>
      <c r="K12" s="96"/>
      <c r="L12" s="96"/>
    </row>
    <row r="13" spans="1:12" ht="8.1" customHeight="1">
      <c r="A13" s="97"/>
      <c r="B13" s="97"/>
      <c r="C13" s="97"/>
      <c r="D13" s="97"/>
      <c r="E13" s="97"/>
      <c r="F13" s="97"/>
      <c r="G13" s="97"/>
      <c r="H13" s="97"/>
      <c r="I13" s="97"/>
      <c r="J13" s="97"/>
      <c r="K13" s="97"/>
      <c r="L13" s="97"/>
    </row>
    <row r="14" spans="1:12">
      <c r="A14" s="103"/>
      <c r="B14" s="124" t="s">
        <v>366</v>
      </c>
      <c r="C14" s="97"/>
      <c r="D14" s="97"/>
      <c r="E14" s="97" t="s">
        <v>367</v>
      </c>
      <c r="F14" s="97"/>
      <c r="G14" s="97"/>
      <c r="H14" s="97" t="s">
        <v>368</v>
      </c>
      <c r="I14" s="97"/>
      <c r="J14" s="110" t="s">
        <v>369</v>
      </c>
      <c r="K14" s="97"/>
      <c r="L14" s="97"/>
    </row>
    <row r="15" spans="1:12" ht="15" customHeight="1">
      <c r="A15" s="97"/>
      <c r="B15" s="124" t="s">
        <v>370</v>
      </c>
      <c r="C15" s="97"/>
      <c r="D15" s="97"/>
      <c r="E15" s="97" t="s">
        <v>371</v>
      </c>
      <c r="F15" s="97"/>
      <c r="G15" s="97"/>
      <c r="H15" s="97" t="s">
        <v>372</v>
      </c>
      <c r="I15" s="97"/>
      <c r="J15" s="110" t="s">
        <v>373</v>
      </c>
      <c r="K15" s="97"/>
      <c r="L15" s="97"/>
    </row>
    <row r="16" spans="1:12">
      <c r="A16" s="97"/>
      <c r="B16" s="124" t="s">
        <v>374</v>
      </c>
      <c r="C16" s="97"/>
      <c r="D16" s="97"/>
      <c r="E16" s="97" t="s">
        <v>375</v>
      </c>
      <c r="F16" s="97"/>
      <c r="G16" s="97"/>
      <c r="H16" s="97" t="s">
        <v>173</v>
      </c>
      <c r="I16" s="97"/>
      <c r="J16" s="110" t="s">
        <v>208</v>
      </c>
      <c r="K16" s="97"/>
      <c r="L16" s="97"/>
    </row>
    <row r="17" spans="1:12" ht="15" customHeight="1">
      <c r="A17" s="97"/>
      <c r="B17" s="124" t="s">
        <v>376</v>
      </c>
      <c r="C17" s="97"/>
      <c r="D17" s="97"/>
      <c r="E17" s="97" t="s">
        <v>377</v>
      </c>
      <c r="F17" s="97"/>
      <c r="G17" s="97"/>
      <c r="H17" s="97" t="s">
        <v>378</v>
      </c>
      <c r="I17" s="97"/>
      <c r="J17" s="110" t="s">
        <v>326</v>
      </c>
      <c r="K17" s="97"/>
      <c r="L17" s="97"/>
    </row>
    <row r="18" spans="1:12" ht="8.1" customHeight="1">
      <c r="A18" s="97"/>
      <c r="B18" s="97"/>
      <c r="D18" s="97"/>
      <c r="E18" s="97"/>
      <c r="F18" s="97"/>
      <c r="G18" s="97"/>
      <c r="H18" s="97"/>
      <c r="I18" s="97"/>
      <c r="J18" s="97"/>
      <c r="K18" s="97"/>
      <c r="L18" s="97"/>
    </row>
    <row r="19" spans="1:12">
      <c r="A19" s="103"/>
      <c r="B19" s="129" t="s">
        <v>379</v>
      </c>
      <c r="D19" s="97"/>
      <c r="E19" s="97"/>
      <c r="F19" s="97"/>
      <c r="G19" s="97"/>
      <c r="H19" s="97"/>
      <c r="I19" s="97"/>
      <c r="J19" s="97"/>
      <c r="K19" s="97"/>
      <c r="L19" s="97"/>
    </row>
    <row r="20" spans="1:12" ht="8.1" customHeight="1">
      <c r="A20" s="97"/>
      <c r="B20" s="97"/>
      <c r="D20" s="97"/>
      <c r="E20" s="97"/>
      <c r="F20" s="97"/>
      <c r="G20" s="97"/>
      <c r="H20" s="97"/>
      <c r="I20" s="97"/>
      <c r="J20" s="97"/>
      <c r="K20" s="97"/>
      <c r="L20" s="97"/>
    </row>
    <row r="21" spans="1:12" ht="21.95" customHeight="1" thickBot="1">
      <c r="A21" s="113" t="s">
        <v>380</v>
      </c>
      <c r="B21" s="100"/>
      <c r="C21" s="100"/>
      <c r="D21" s="100"/>
      <c r="E21" s="100"/>
      <c r="F21" s="100"/>
      <c r="G21" s="100"/>
      <c r="H21" s="105"/>
      <c r="I21" s="100"/>
      <c r="J21" s="100"/>
      <c r="K21" s="101"/>
      <c r="L21" s="100"/>
    </row>
    <row r="22" spans="1:12" ht="6" customHeight="1" thickTop="1">
      <c r="A22" s="97"/>
      <c r="B22" s="97"/>
      <c r="C22" s="97"/>
      <c r="D22" s="97"/>
      <c r="E22" s="97"/>
      <c r="F22" s="97"/>
      <c r="G22" s="97"/>
      <c r="H22" s="97"/>
      <c r="I22" s="97"/>
      <c r="J22" s="97"/>
      <c r="K22" s="97"/>
      <c r="L22" s="97"/>
    </row>
    <row r="23" spans="1:12" ht="18" customHeight="1">
      <c r="A23" s="97" t="s">
        <v>261</v>
      </c>
      <c r="B23" s="125" t="s">
        <v>381</v>
      </c>
      <c r="C23" s="97"/>
      <c r="D23" s="97"/>
      <c r="E23" s="97"/>
      <c r="F23" s="97"/>
      <c r="G23" s="104" t="s">
        <v>382</v>
      </c>
      <c r="H23" s="97"/>
      <c r="I23" s="97"/>
      <c r="J23" s="97"/>
      <c r="L23" s="97"/>
    </row>
    <row r="24" spans="1:12" ht="18" customHeight="1">
      <c r="A24" s="97" t="s">
        <v>261</v>
      </c>
      <c r="B24" s="125" t="s">
        <v>354</v>
      </c>
      <c r="C24" s="97"/>
      <c r="D24" s="97"/>
      <c r="E24" s="97"/>
      <c r="F24" s="97"/>
      <c r="G24" s="104" t="s">
        <v>355</v>
      </c>
      <c r="H24" s="97"/>
      <c r="I24" s="97"/>
      <c r="J24" s="97"/>
      <c r="L24" s="97"/>
    </row>
    <row r="25" spans="1:12" ht="18" customHeight="1">
      <c r="A25" s="97" t="s">
        <v>261</v>
      </c>
      <c r="B25" s="125" t="s">
        <v>383</v>
      </c>
      <c r="C25" s="97"/>
      <c r="D25" s="97"/>
      <c r="E25" s="97"/>
      <c r="F25" s="97"/>
      <c r="G25" s="104" t="s">
        <v>384</v>
      </c>
      <c r="H25" s="97"/>
      <c r="I25" s="97"/>
      <c r="J25" s="97"/>
      <c r="K25" s="97"/>
      <c r="L25" s="97"/>
    </row>
    <row r="26" spans="1:12" ht="18" customHeight="1">
      <c r="A26" s="97" t="s">
        <v>261</v>
      </c>
      <c r="B26" s="125" t="s">
        <v>356</v>
      </c>
      <c r="C26" s="97"/>
      <c r="D26" s="97"/>
      <c r="E26" s="97"/>
      <c r="F26" s="97"/>
      <c r="G26" s="104" t="s">
        <v>357</v>
      </c>
      <c r="H26" s="97"/>
      <c r="I26" s="97"/>
      <c r="J26" s="97"/>
      <c r="K26" s="97"/>
      <c r="L26" s="97"/>
    </row>
    <row r="27" spans="1:12" ht="18" customHeight="1">
      <c r="A27" s="97" t="s">
        <v>261</v>
      </c>
      <c r="B27" s="125" t="s">
        <v>284</v>
      </c>
      <c r="C27" s="97"/>
      <c r="D27" s="97"/>
      <c r="E27" s="97"/>
      <c r="F27" s="97"/>
      <c r="G27" s="104" t="s">
        <v>358</v>
      </c>
      <c r="H27" s="97"/>
      <c r="I27" s="97"/>
      <c r="J27" s="97"/>
      <c r="K27" s="97"/>
      <c r="L27" s="97"/>
    </row>
    <row r="28" spans="1:12" ht="18" customHeight="1">
      <c r="A28" s="97" t="s">
        <v>261</v>
      </c>
      <c r="B28" s="125" t="s">
        <v>359</v>
      </c>
      <c r="C28" s="97"/>
      <c r="D28" s="97"/>
      <c r="E28" s="97"/>
      <c r="F28" s="97"/>
      <c r="G28" s="104" t="s">
        <v>385</v>
      </c>
      <c r="H28" s="97"/>
      <c r="I28" s="97"/>
      <c r="J28" s="97"/>
      <c r="K28" s="97"/>
      <c r="L28" s="97"/>
    </row>
    <row r="29" spans="1:12" ht="18" customHeight="1">
      <c r="A29" s="97" t="s">
        <v>261</v>
      </c>
      <c r="B29" s="125" t="s">
        <v>76</v>
      </c>
      <c r="C29" s="97"/>
      <c r="D29" s="97"/>
      <c r="E29" s="97"/>
      <c r="F29" s="97"/>
      <c r="G29" s="104" t="s">
        <v>386</v>
      </c>
      <c r="K29" s="97"/>
      <c r="L29" s="97"/>
    </row>
    <row r="30" spans="1:12" ht="18" customHeight="1">
      <c r="A30" s="97" t="s">
        <v>261</v>
      </c>
      <c r="B30" s="125" t="s">
        <v>387</v>
      </c>
      <c r="C30" s="97"/>
      <c r="D30" s="97"/>
      <c r="E30" s="97"/>
      <c r="F30" s="97"/>
      <c r="G30" s="104" t="s">
        <v>362</v>
      </c>
      <c r="H30" s="97"/>
      <c r="I30" s="97"/>
      <c r="J30" s="97"/>
      <c r="K30" s="97"/>
      <c r="L30" s="97"/>
    </row>
    <row r="31" spans="1:12" ht="8.1" customHeight="1">
      <c r="A31" s="97"/>
      <c r="B31" s="125"/>
      <c r="C31" s="97"/>
      <c r="D31" s="97"/>
      <c r="E31" s="97"/>
      <c r="F31" s="97"/>
      <c r="G31" s="104"/>
      <c r="H31" s="97"/>
      <c r="I31" s="97"/>
      <c r="J31" s="97"/>
      <c r="K31" s="97"/>
      <c r="L31" s="97"/>
    </row>
    <row r="32" spans="1:12" ht="21.95" customHeight="1" thickBot="1">
      <c r="A32" s="113" t="s">
        <v>388</v>
      </c>
      <c r="B32" s="100"/>
      <c r="C32" s="100"/>
      <c r="D32" s="100"/>
      <c r="E32" s="100"/>
      <c r="F32" s="113"/>
      <c r="G32" s="119" t="s">
        <v>389</v>
      </c>
      <c r="H32" s="100"/>
      <c r="I32" s="100"/>
      <c r="J32" s="100"/>
      <c r="K32" s="101"/>
      <c r="L32" s="100"/>
    </row>
    <row r="33" spans="1:12" ht="6" customHeight="1" thickTop="1">
      <c r="A33" s="97"/>
      <c r="B33" s="97"/>
      <c r="D33" s="97"/>
      <c r="E33" s="97"/>
      <c r="F33" s="97"/>
      <c r="G33" s="97"/>
      <c r="H33" s="97"/>
      <c r="I33" s="97"/>
      <c r="J33" s="97"/>
      <c r="L33" s="97"/>
    </row>
    <row r="34" spans="1:12" ht="18" customHeight="1">
      <c r="A34" s="97"/>
      <c r="B34" s="126" t="s">
        <v>187</v>
      </c>
      <c r="E34" s="97"/>
      <c r="F34" s="97"/>
      <c r="G34" s="121" t="s">
        <v>329</v>
      </c>
      <c r="I34" s="97"/>
      <c r="J34" s="97"/>
      <c r="K34" s="97"/>
      <c r="L34" s="97"/>
    </row>
    <row r="35" spans="1:12">
      <c r="A35" s="97"/>
      <c r="B35" s="127"/>
      <c r="C35" s="97"/>
      <c r="E35" s="97"/>
      <c r="F35" s="97"/>
      <c r="G35" s="120" t="s">
        <v>330</v>
      </c>
      <c r="I35" s="97"/>
      <c r="J35" s="97"/>
      <c r="K35" s="97"/>
      <c r="L35" s="97"/>
    </row>
    <row r="36" spans="1:12" ht="18" customHeight="1">
      <c r="A36" s="97"/>
      <c r="B36" s="126" t="s">
        <v>331</v>
      </c>
      <c r="C36" s="97"/>
      <c r="D36" s="97"/>
      <c r="E36" s="97"/>
      <c r="F36" s="97"/>
      <c r="G36" s="121" t="s">
        <v>332</v>
      </c>
      <c r="I36" s="97"/>
      <c r="J36" s="97"/>
      <c r="K36" s="97"/>
      <c r="L36" s="97"/>
    </row>
    <row r="37" spans="1:12" ht="15" customHeight="1">
      <c r="A37" s="97"/>
      <c r="B37" s="127"/>
      <c r="C37" s="97"/>
      <c r="D37" s="97"/>
      <c r="E37" s="97"/>
      <c r="F37" s="97"/>
      <c r="G37" s="120" t="s">
        <v>333</v>
      </c>
      <c r="I37" s="97"/>
      <c r="J37" s="97"/>
      <c r="K37" s="97"/>
      <c r="L37" s="97"/>
    </row>
    <row r="38" spans="1:12" ht="18" customHeight="1">
      <c r="A38" s="97"/>
      <c r="B38" s="126" t="s">
        <v>334</v>
      </c>
      <c r="C38" s="97"/>
      <c r="D38" s="97"/>
      <c r="E38" s="97"/>
      <c r="F38" s="97"/>
      <c r="G38" s="121" t="s">
        <v>335</v>
      </c>
      <c r="I38" s="97"/>
      <c r="J38" s="97"/>
      <c r="K38" s="97"/>
      <c r="L38" s="97"/>
    </row>
    <row r="39" spans="1:12">
      <c r="A39" s="97"/>
      <c r="B39" s="128"/>
      <c r="C39" s="97"/>
      <c r="D39" s="97"/>
      <c r="E39" s="97"/>
      <c r="F39" s="97"/>
      <c r="G39" s="120" t="s">
        <v>336</v>
      </c>
      <c r="I39" s="97"/>
      <c r="J39" s="97"/>
      <c r="K39" s="97"/>
      <c r="L39" s="97"/>
    </row>
    <row r="40" spans="1:12" ht="21.95" customHeight="1" thickBot="1">
      <c r="A40" s="113" t="s">
        <v>337</v>
      </c>
      <c r="B40" s="100"/>
      <c r="C40" s="100"/>
      <c r="D40" s="100"/>
      <c r="E40" s="100"/>
      <c r="F40" s="100"/>
      <c r="G40" s="100"/>
      <c r="H40" s="100"/>
      <c r="I40" s="100"/>
      <c r="J40" s="100"/>
      <c r="K40" s="101"/>
      <c r="L40" s="100"/>
    </row>
    <row r="41" spans="1:12" ht="8.1" customHeight="1" thickTop="1">
      <c r="A41" s="97"/>
      <c r="B41" s="97"/>
      <c r="C41" s="97"/>
      <c r="D41" s="97"/>
      <c r="E41" s="97"/>
      <c r="F41" s="97"/>
      <c r="G41" s="97"/>
      <c r="H41" s="97"/>
      <c r="I41" s="97"/>
      <c r="J41" s="97"/>
      <c r="K41" s="97"/>
      <c r="L41" s="97"/>
    </row>
    <row r="42" spans="1:12" ht="15" customHeight="1">
      <c r="A42" s="103"/>
      <c r="B42" s="97" t="s">
        <v>338</v>
      </c>
      <c r="C42" s="97"/>
      <c r="D42" s="99" t="s">
        <v>339</v>
      </c>
      <c r="E42" s="97"/>
      <c r="F42" s="97"/>
      <c r="G42" s="97"/>
      <c r="H42" s="97"/>
      <c r="I42" s="97"/>
      <c r="J42" s="97"/>
      <c r="K42" s="97"/>
      <c r="L42" s="97"/>
    </row>
    <row r="43" spans="1:12" ht="18" customHeight="1">
      <c r="A43" s="97"/>
      <c r="B43" s="97"/>
      <c r="C43" s="97"/>
      <c r="D43" s="99" t="s">
        <v>340</v>
      </c>
      <c r="E43" s="97"/>
      <c r="F43" s="97"/>
      <c r="G43" s="97"/>
      <c r="H43" s="97"/>
      <c r="I43" s="97"/>
      <c r="J43" s="97"/>
      <c r="K43" s="97"/>
      <c r="L43" s="97"/>
    </row>
    <row r="44" spans="1:12" ht="15" customHeight="1">
      <c r="A44" s="97"/>
      <c r="B44" s="97"/>
      <c r="C44" s="102" t="s">
        <v>341</v>
      </c>
      <c r="D44" s="104" t="s">
        <v>342</v>
      </c>
      <c r="E44" s="97"/>
      <c r="F44" s="97"/>
      <c r="G44" s="97"/>
      <c r="H44" s="97"/>
      <c r="I44" s="97"/>
      <c r="J44" s="97"/>
      <c r="K44" s="97"/>
      <c r="L44" s="97"/>
    </row>
    <row r="45" spans="1:12" ht="15" customHeight="1">
      <c r="C45" s="97"/>
      <c r="D45" s="104" t="s">
        <v>343</v>
      </c>
      <c r="E45" s="97"/>
      <c r="F45" s="97"/>
      <c r="G45" s="97"/>
      <c r="H45" s="97"/>
      <c r="I45" s="97"/>
      <c r="J45" s="97"/>
      <c r="K45" s="97"/>
      <c r="L45" s="97"/>
    </row>
    <row r="46" spans="1:12" ht="18" customHeight="1">
      <c r="C46" s="122" t="s">
        <v>341</v>
      </c>
      <c r="D46" s="123" t="s">
        <v>390</v>
      </c>
      <c r="E46" s="97"/>
      <c r="F46" s="97"/>
      <c r="G46" s="97"/>
      <c r="H46" s="97"/>
      <c r="I46" s="97"/>
      <c r="J46" s="97"/>
      <c r="K46" s="97"/>
      <c r="L46" s="97"/>
    </row>
    <row r="47" spans="1:12" ht="15" customHeight="1">
      <c r="A47" s="97"/>
      <c r="B47" s="97"/>
      <c r="C47" s="97"/>
      <c r="D47" s="97"/>
      <c r="E47" s="97"/>
      <c r="F47" s="97"/>
      <c r="G47" s="97"/>
      <c r="H47" s="97"/>
      <c r="I47" s="97"/>
      <c r="J47" s="97"/>
      <c r="K47" s="97"/>
      <c r="L47" s="97"/>
    </row>
    <row r="48" spans="1:12">
      <c r="A48" s="103"/>
      <c r="B48" s="97" t="s">
        <v>344</v>
      </c>
      <c r="C48" s="97"/>
      <c r="D48" s="99" t="s">
        <v>345</v>
      </c>
      <c r="E48" s="97"/>
      <c r="F48" s="97"/>
      <c r="G48" s="97"/>
      <c r="H48" s="97"/>
      <c r="I48" s="97"/>
      <c r="J48" s="97"/>
      <c r="K48" s="97"/>
      <c r="L48" s="97"/>
    </row>
    <row r="49" spans="1:12" ht="18" customHeight="1">
      <c r="A49" s="97"/>
      <c r="B49" s="97"/>
      <c r="C49" s="97"/>
      <c r="D49" s="99" t="s">
        <v>346</v>
      </c>
      <c r="E49" s="97"/>
      <c r="F49" s="97"/>
      <c r="G49" s="97"/>
      <c r="H49" s="97"/>
      <c r="I49" s="97"/>
      <c r="J49" s="97"/>
      <c r="K49" s="97"/>
      <c r="L49" s="97"/>
    </row>
    <row r="50" spans="1:12" ht="15" customHeight="1">
      <c r="A50" s="97"/>
      <c r="B50" s="97"/>
      <c r="C50" s="102" t="s">
        <v>341</v>
      </c>
      <c r="D50" s="104" t="s">
        <v>347</v>
      </c>
      <c r="E50" s="97"/>
      <c r="F50" s="97"/>
      <c r="G50" s="97"/>
      <c r="H50" s="97"/>
      <c r="I50" s="97"/>
      <c r="J50" s="97"/>
      <c r="K50" s="97"/>
      <c r="L50" s="97"/>
    </row>
    <row r="51" spans="1:12" ht="15" customHeight="1">
      <c r="A51" s="97"/>
      <c r="B51" s="97"/>
      <c r="C51" s="102" t="s">
        <v>341</v>
      </c>
      <c r="D51" s="104" t="s">
        <v>391</v>
      </c>
      <c r="E51" s="97"/>
      <c r="F51" s="97"/>
      <c r="G51" s="97"/>
      <c r="H51" s="97"/>
      <c r="I51" s="97"/>
      <c r="J51" s="97"/>
      <c r="K51" s="97"/>
      <c r="L51" s="97"/>
    </row>
    <row r="52" spans="1:12">
      <c r="A52" s="97"/>
      <c r="B52" s="97"/>
      <c r="C52" s="102" t="s">
        <v>341</v>
      </c>
      <c r="D52" s="104" t="s">
        <v>349</v>
      </c>
      <c r="E52" s="97"/>
      <c r="F52" s="97"/>
      <c r="G52" s="97"/>
      <c r="H52" s="97"/>
      <c r="I52" s="97"/>
      <c r="J52" s="97"/>
      <c r="K52" s="97"/>
      <c r="L52" s="97"/>
    </row>
    <row r="53" spans="1:12">
      <c r="A53" s="97"/>
      <c r="B53" s="97"/>
      <c r="C53" s="102"/>
      <c r="D53" s="104" t="s">
        <v>350</v>
      </c>
      <c r="E53" s="97"/>
      <c r="F53" s="97"/>
      <c r="G53" s="97"/>
      <c r="H53" s="97"/>
      <c r="I53" s="97"/>
      <c r="J53" s="97"/>
      <c r="K53" s="97"/>
      <c r="L53" s="97"/>
    </row>
    <row r="54" spans="1:12">
      <c r="A54" s="97"/>
      <c r="B54" s="97"/>
      <c r="C54" s="102" t="s">
        <v>341</v>
      </c>
      <c r="D54" s="104" t="s">
        <v>351</v>
      </c>
      <c r="E54" s="97"/>
      <c r="F54" s="97"/>
      <c r="G54" s="97"/>
      <c r="H54" s="97"/>
      <c r="I54" s="97"/>
      <c r="J54" s="97"/>
      <c r="K54" s="97"/>
      <c r="L54" s="97"/>
    </row>
    <row r="55" spans="1:12" ht="15" customHeight="1">
      <c r="A55" s="97"/>
      <c r="B55" s="97"/>
      <c r="C55" s="102"/>
      <c r="D55" s="104" t="s">
        <v>352</v>
      </c>
      <c r="E55" s="97"/>
      <c r="F55" s="97"/>
      <c r="G55" s="97"/>
      <c r="H55" s="97"/>
      <c r="I55" s="97"/>
      <c r="J55" s="97"/>
      <c r="K55" s="97"/>
      <c r="L55" s="97"/>
    </row>
    <row r="56" spans="1:12" ht="21" customHeight="1">
      <c r="A56" s="97"/>
      <c r="B56" s="116"/>
      <c r="C56" s="97"/>
      <c r="D56" s="97"/>
      <c r="E56" s="97"/>
      <c r="F56" s="97"/>
      <c r="G56" s="97"/>
      <c r="H56" s="97"/>
      <c r="I56" s="97"/>
      <c r="J56" s="97"/>
      <c r="K56" s="97"/>
      <c r="L56" s="97"/>
    </row>
    <row r="57" spans="1:12" ht="18" customHeight="1">
      <c r="B57" s="97"/>
      <c r="C57" s="97"/>
      <c r="D57" s="97"/>
      <c r="E57" s="97"/>
      <c r="F57" s="97"/>
      <c r="G57" s="97"/>
      <c r="H57" s="102" t="s">
        <v>363</v>
      </c>
      <c r="I57" s="97"/>
      <c r="J57" s="131" t="s">
        <v>392</v>
      </c>
      <c r="L57" s="118" t="str">
        <f ca="1">TEXT(NOW(),"TT. MMM. JJJJ")</f>
        <v>16. Feb. 2026</v>
      </c>
    </row>
    <row r="61" spans="1:12">
      <c r="H61" s="97"/>
      <c r="I61" s="97"/>
      <c r="J61" s="97"/>
      <c r="K61" s="97"/>
    </row>
  </sheetData>
  <mergeCells count="4">
    <mergeCell ref="B8:E8"/>
    <mergeCell ref="I10:I11"/>
    <mergeCell ref="A10:A11"/>
    <mergeCell ref="D5:G6"/>
  </mergeCells>
  <hyperlinks>
    <hyperlink ref="B36" r:id="rId1" xr:uid="{98DC28CA-95A4-411A-B2CF-84095D21E269}"/>
    <hyperlink ref="B34" r:id="rId2" xr:uid="{28BBCA0D-7D7F-432B-8BE5-A2628D93DAEF}"/>
    <hyperlink ref="B38" r:id="rId3" xr:uid="{17445E4D-788F-4331-A438-1BACDF45FF66}"/>
    <hyperlink ref="B29" r:id="rId4" xr:uid="{4FC31A43-9C6B-4321-AC2F-DBB09BA913CB}"/>
    <hyperlink ref="B28" r:id="rId5" xr:uid="{BF476955-ED49-4EA7-B459-74C75CFCD195}"/>
    <hyperlink ref="B30" r:id="rId6" xr:uid="{3345C8BB-A4C0-4A2C-8A52-9477C3FC9BA5}"/>
    <hyperlink ref="B27" r:id="rId7" xr:uid="{75BBC13F-245C-45D9-BB2D-5E9B5BC6BC8E}"/>
    <hyperlink ref="F11" r:id="rId8" xr:uid="{687026E0-E17A-4EB8-9A98-4266A107D752}"/>
    <hyperlink ref="F10" r:id="rId9" xr:uid="{84E33C71-406A-4C68-BB2C-8086F4B6EBF1}"/>
    <hyperlink ref="B23" r:id="rId10" xr:uid="{E19D7BB6-9902-4BE1-A2F3-05039170F408}"/>
    <hyperlink ref="B25" r:id="rId11" xr:uid="{2A3AFF02-CA13-4DE3-9014-F614EE9EBF0B}"/>
    <hyperlink ref="B26" r:id="rId12" xr:uid="{ACAD2025-FCF0-426C-AE06-97094B67EA52}"/>
    <hyperlink ref="B24" r:id="rId13" xr:uid="{B80D9EC5-3FA6-444B-A4F4-C066FB19D991}"/>
  </hyperlinks>
  <printOptions horizontalCentered="1" verticalCentered="1"/>
  <pageMargins left="0" right="0" top="0" bottom="0" header="0" footer="0"/>
  <pageSetup paperSize="9" orientation="portrait" r:id="rId14"/>
  <drawing r:id="rId1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E7A6-D00E-432C-B2C8-3B1180E4FDF0}">
  <dimension ref="A1:L61"/>
  <sheetViews>
    <sheetView workbookViewId="0">
      <selection activeCell="B20" sqref="B20"/>
    </sheetView>
  </sheetViews>
  <sheetFormatPr defaultRowHeight="15"/>
  <cols>
    <col min="1" max="1" width="5.7109375" customWidth="1"/>
    <col min="12" max="12" width="5.7109375" customWidth="1"/>
  </cols>
  <sheetData>
    <row r="1" spans="1:12" ht="8.1" customHeight="1">
      <c r="A1" s="95"/>
      <c r="B1" s="95"/>
      <c r="C1" s="95"/>
      <c r="D1" s="95"/>
      <c r="E1" s="95"/>
      <c r="F1" s="95"/>
      <c r="G1" s="95"/>
      <c r="H1" s="95"/>
      <c r="I1" s="95"/>
      <c r="J1" s="95"/>
      <c r="K1" s="95"/>
      <c r="L1" s="95"/>
    </row>
    <row r="2" spans="1:12" ht="15" customHeight="1">
      <c r="A2" s="95"/>
      <c r="B2" s="95"/>
      <c r="C2" s="95"/>
      <c r="D2" s="95"/>
      <c r="E2" s="95"/>
      <c r="F2" s="95"/>
      <c r="G2" s="95"/>
      <c r="H2" s="95"/>
      <c r="I2" s="95"/>
      <c r="J2" s="95"/>
      <c r="K2" s="95"/>
      <c r="L2" s="95"/>
    </row>
    <row r="3" spans="1:12">
      <c r="A3" s="95"/>
      <c r="B3" s="95"/>
      <c r="C3" s="95"/>
      <c r="D3" s="95"/>
      <c r="E3" s="95"/>
      <c r="F3" s="95"/>
      <c r="G3" s="95"/>
      <c r="H3" s="95"/>
      <c r="I3" s="95"/>
      <c r="J3" s="95"/>
      <c r="K3" s="95"/>
      <c r="L3" s="95"/>
    </row>
    <row r="4" spans="1:12">
      <c r="A4" s="95"/>
      <c r="B4" s="95"/>
      <c r="C4" s="95"/>
      <c r="D4" s="95"/>
      <c r="E4" s="95"/>
      <c r="F4" s="95"/>
      <c r="G4" s="95"/>
      <c r="H4" s="95"/>
      <c r="I4" s="95"/>
      <c r="J4" s="95"/>
      <c r="K4" s="95"/>
      <c r="L4" s="95"/>
    </row>
    <row r="5" spans="1:12">
      <c r="D5" s="360" t="s">
        <v>364</v>
      </c>
      <c r="E5" s="360"/>
      <c r="F5" s="360"/>
      <c r="G5" s="360"/>
    </row>
    <row r="6" spans="1:12" ht="23.25">
      <c r="C6" s="98"/>
      <c r="D6" s="360"/>
      <c r="E6" s="360"/>
      <c r="F6" s="360"/>
      <c r="G6" s="360"/>
      <c r="H6" s="130" t="s">
        <v>1</v>
      </c>
      <c r="I6" s="98"/>
      <c r="J6" s="98"/>
      <c r="K6" s="98"/>
    </row>
    <row r="7" spans="1:12" ht="15" customHeight="1">
      <c r="B7" s="98"/>
      <c r="C7" s="98"/>
      <c r="D7" s="98"/>
      <c r="E7" s="98"/>
      <c r="H7" s="98"/>
      <c r="I7" s="98"/>
      <c r="J7" s="98"/>
      <c r="K7" s="98"/>
    </row>
    <row r="8" spans="1:12" ht="5.0999999999999996" customHeight="1">
      <c r="B8" s="265"/>
      <c r="C8" s="265"/>
      <c r="D8" s="265"/>
      <c r="E8" s="265"/>
    </row>
    <row r="9" spans="1:12">
      <c r="A9" s="96"/>
      <c r="B9" s="96"/>
      <c r="C9" s="96"/>
      <c r="D9" s="96"/>
      <c r="E9" s="96"/>
      <c r="F9" s="96"/>
      <c r="G9" s="96"/>
      <c r="H9" s="96"/>
      <c r="I9" s="96"/>
      <c r="J9" s="96"/>
      <c r="K9" s="96"/>
      <c r="L9" s="96"/>
    </row>
    <row r="10" spans="1:12">
      <c r="A10" s="359"/>
      <c r="B10" s="106" t="s">
        <v>365</v>
      </c>
      <c r="C10" s="96"/>
      <c r="D10" s="96"/>
      <c r="E10" s="96"/>
      <c r="F10" s="112" t="s">
        <v>3</v>
      </c>
      <c r="G10" s="96"/>
      <c r="H10" s="96"/>
      <c r="I10" s="359"/>
      <c r="J10" s="106" t="s">
        <v>318</v>
      </c>
      <c r="K10" s="96"/>
      <c r="L10" s="96"/>
    </row>
    <row r="11" spans="1:12" ht="15" customHeight="1">
      <c r="A11" s="359"/>
      <c r="B11" s="109" t="s">
        <v>319</v>
      </c>
      <c r="C11" s="96"/>
      <c r="D11" s="96"/>
      <c r="E11" s="96"/>
      <c r="F11" s="112" t="s">
        <v>190</v>
      </c>
      <c r="G11" s="96"/>
      <c r="H11" s="96"/>
      <c r="I11" s="359"/>
      <c r="J11" s="109" t="s">
        <v>320</v>
      </c>
      <c r="K11" s="96"/>
      <c r="L11" s="96"/>
    </row>
    <row r="12" spans="1:12">
      <c r="A12" s="96"/>
      <c r="B12" s="96"/>
      <c r="C12" s="96"/>
      <c r="D12" s="96"/>
      <c r="E12" s="96"/>
      <c r="F12" s="96"/>
      <c r="G12" s="96"/>
      <c r="H12" s="96"/>
      <c r="I12" s="96"/>
      <c r="J12" s="96"/>
      <c r="K12" s="96"/>
      <c r="L12" s="96"/>
    </row>
    <row r="13" spans="1:12" ht="9.9499999999999993" customHeight="1">
      <c r="A13" s="97"/>
      <c r="B13" s="97"/>
      <c r="C13" s="97"/>
      <c r="D13" s="97"/>
      <c r="E13" s="97"/>
      <c r="F13" s="97"/>
      <c r="G13" s="97"/>
      <c r="H13" s="97"/>
      <c r="I13" s="97"/>
      <c r="J13" s="97"/>
      <c r="K13" s="97"/>
      <c r="L13" s="97"/>
    </row>
    <row r="14" spans="1:12">
      <c r="A14" s="103"/>
      <c r="B14" s="124" t="s">
        <v>366</v>
      </c>
      <c r="C14" s="97"/>
      <c r="D14" s="97"/>
      <c r="E14" s="97" t="s">
        <v>367</v>
      </c>
      <c r="F14" s="97"/>
      <c r="G14" s="97"/>
      <c r="H14" s="97" t="s">
        <v>368</v>
      </c>
      <c r="I14" s="97"/>
      <c r="J14" s="110" t="s">
        <v>369</v>
      </c>
      <c r="K14" s="97"/>
      <c r="L14" s="97"/>
    </row>
    <row r="15" spans="1:12" ht="15" customHeight="1">
      <c r="A15" s="97"/>
      <c r="B15" s="124" t="s">
        <v>370</v>
      </c>
      <c r="C15" s="97"/>
      <c r="D15" s="97"/>
      <c r="E15" s="97" t="s">
        <v>371</v>
      </c>
      <c r="F15" s="97"/>
      <c r="G15" s="97"/>
      <c r="H15" s="97" t="s">
        <v>372</v>
      </c>
      <c r="I15" s="97"/>
      <c r="J15" s="110" t="s">
        <v>373</v>
      </c>
      <c r="K15" s="97"/>
      <c r="L15" s="97"/>
    </row>
    <row r="16" spans="1:12">
      <c r="A16" s="97"/>
      <c r="B16" s="124" t="s">
        <v>374</v>
      </c>
      <c r="C16" s="97"/>
      <c r="D16" s="97"/>
      <c r="E16" s="97" t="s">
        <v>375</v>
      </c>
      <c r="F16" s="97"/>
      <c r="G16" s="97"/>
      <c r="H16" s="97" t="s">
        <v>173</v>
      </c>
      <c r="I16" s="97"/>
      <c r="J16" s="110" t="s">
        <v>208</v>
      </c>
      <c r="K16" s="97"/>
      <c r="L16" s="97"/>
    </row>
    <row r="17" spans="1:12" ht="15" customHeight="1">
      <c r="A17" s="97"/>
      <c r="B17" s="124" t="s">
        <v>376</v>
      </c>
      <c r="C17" s="97"/>
      <c r="D17" s="97"/>
      <c r="E17" s="97" t="s">
        <v>377</v>
      </c>
      <c r="F17" s="97"/>
      <c r="G17" s="97"/>
      <c r="H17" s="97" t="s">
        <v>378</v>
      </c>
      <c r="I17" s="97"/>
      <c r="J17" s="110" t="s">
        <v>326</v>
      </c>
      <c r="K17" s="97"/>
      <c r="L17" s="97"/>
    </row>
    <row r="18" spans="1:12" ht="9.9499999999999993" customHeight="1">
      <c r="A18" s="97"/>
      <c r="B18" s="97"/>
      <c r="D18" s="97"/>
      <c r="E18" s="97"/>
      <c r="F18" s="97"/>
      <c r="G18" s="97"/>
      <c r="H18" s="97"/>
      <c r="I18" s="97"/>
      <c r="J18" s="97"/>
      <c r="K18" s="97"/>
      <c r="L18" s="97"/>
    </row>
    <row r="19" spans="1:12">
      <c r="A19" s="103"/>
      <c r="B19" s="129" t="s">
        <v>393</v>
      </c>
      <c r="D19" s="97"/>
      <c r="E19" s="97"/>
      <c r="F19" s="97"/>
      <c r="G19" s="97"/>
      <c r="H19" s="97"/>
      <c r="I19" s="97"/>
      <c r="J19" s="97"/>
      <c r="K19" s="97"/>
      <c r="L19" s="97"/>
    </row>
    <row r="20" spans="1:12" ht="9.9499999999999993" customHeight="1">
      <c r="A20" s="97"/>
      <c r="B20" s="97"/>
      <c r="D20" s="97"/>
      <c r="E20" s="97"/>
      <c r="F20" s="97"/>
      <c r="G20" s="97"/>
      <c r="H20" s="97"/>
      <c r="I20" s="97"/>
      <c r="J20" s="97"/>
      <c r="K20" s="97"/>
      <c r="L20" s="97"/>
    </row>
    <row r="21" spans="1:12" ht="21.95" customHeight="1" thickBot="1">
      <c r="A21" s="113" t="s">
        <v>380</v>
      </c>
      <c r="B21" s="100"/>
      <c r="C21" s="100"/>
      <c r="D21" s="100"/>
      <c r="E21" s="100"/>
      <c r="F21" s="100"/>
      <c r="G21" s="100"/>
      <c r="H21" s="105"/>
      <c r="I21" s="100"/>
      <c r="J21" s="100"/>
      <c r="K21" s="101"/>
      <c r="L21" s="100"/>
    </row>
    <row r="22" spans="1:12" ht="6" customHeight="1" thickTop="1">
      <c r="A22" s="97"/>
      <c r="B22" s="97"/>
      <c r="C22" s="97"/>
      <c r="D22" s="97"/>
      <c r="E22" s="97"/>
      <c r="F22" s="97"/>
      <c r="G22" s="97"/>
      <c r="H22" s="97"/>
      <c r="I22" s="97"/>
      <c r="J22" s="97"/>
      <c r="K22" s="97"/>
      <c r="L22" s="97"/>
    </row>
    <row r="23" spans="1:12" ht="18" customHeight="1">
      <c r="A23" s="97" t="s">
        <v>261</v>
      </c>
      <c r="B23" s="125" t="s">
        <v>381</v>
      </c>
      <c r="C23" s="97"/>
      <c r="D23" s="97"/>
      <c r="E23" s="97"/>
      <c r="F23" s="97"/>
      <c r="G23" s="104" t="s">
        <v>382</v>
      </c>
      <c r="H23" s="97"/>
      <c r="I23" s="97"/>
      <c r="J23" s="97"/>
      <c r="L23" s="97"/>
    </row>
    <row r="24" spans="1:12" ht="18" customHeight="1">
      <c r="A24" s="97" t="s">
        <v>261</v>
      </c>
      <c r="B24" s="125" t="s">
        <v>354</v>
      </c>
      <c r="C24" s="97"/>
      <c r="D24" s="97"/>
      <c r="E24" s="97"/>
      <c r="F24" s="97"/>
      <c r="G24" s="104" t="s">
        <v>355</v>
      </c>
      <c r="H24" s="97"/>
      <c r="I24" s="97"/>
      <c r="J24" s="97"/>
      <c r="L24" s="97"/>
    </row>
    <row r="25" spans="1:12" ht="18" customHeight="1">
      <c r="A25" s="97" t="s">
        <v>261</v>
      </c>
      <c r="B25" s="125" t="s">
        <v>383</v>
      </c>
      <c r="C25" s="97"/>
      <c r="D25" s="97"/>
      <c r="E25" s="97"/>
      <c r="F25" s="97"/>
      <c r="G25" s="104" t="s">
        <v>384</v>
      </c>
      <c r="H25" s="97"/>
      <c r="I25" s="97"/>
      <c r="J25" s="97"/>
      <c r="K25" s="97"/>
      <c r="L25" s="97"/>
    </row>
    <row r="26" spans="1:12" ht="18" customHeight="1">
      <c r="A26" s="97" t="s">
        <v>261</v>
      </c>
      <c r="B26" s="125" t="s">
        <v>356</v>
      </c>
      <c r="C26" s="97"/>
      <c r="D26" s="97"/>
      <c r="E26" s="97"/>
      <c r="F26" s="97"/>
      <c r="G26" s="104" t="s">
        <v>357</v>
      </c>
      <c r="H26" s="97"/>
      <c r="I26" s="97"/>
      <c r="J26" s="97"/>
      <c r="K26" s="97"/>
      <c r="L26" s="97"/>
    </row>
    <row r="27" spans="1:12" ht="18" customHeight="1">
      <c r="A27" s="97" t="s">
        <v>261</v>
      </c>
      <c r="B27" s="125" t="s">
        <v>284</v>
      </c>
      <c r="C27" s="97"/>
      <c r="D27" s="97"/>
      <c r="E27" s="97"/>
      <c r="F27" s="97"/>
      <c r="G27" s="104" t="s">
        <v>358</v>
      </c>
      <c r="H27" s="97"/>
      <c r="I27" s="97"/>
      <c r="J27" s="97"/>
      <c r="K27" s="97"/>
      <c r="L27" s="97"/>
    </row>
    <row r="28" spans="1:12" ht="18" customHeight="1">
      <c r="A28" s="97" t="s">
        <v>261</v>
      </c>
      <c r="B28" s="125" t="s">
        <v>359</v>
      </c>
      <c r="C28" s="97"/>
      <c r="D28" s="97"/>
      <c r="E28" s="97"/>
      <c r="F28" s="97"/>
      <c r="G28" s="104" t="s">
        <v>385</v>
      </c>
      <c r="H28" s="97"/>
      <c r="I28" s="97"/>
      <c r="J28" s="97"/>
      <c r="K28" s="97"/>
      <c r="L28" s="97"/>
    </row>
    <row r="29" spans="1:12" ht="18" customHeight="1">
      <c r="A29" s="97" t="s">
        <v>261</v>
      </c>
      <c r="B29" s="125" t="s">
        <v>76</v>
      </c>
      <c r="C29" s="97"/>
      <c r="D29" s="97"/>
      <c r="E29" s="97"/>
      <c r="F29" s="97"/>
      <c r="G29" s="104" t="s">
        <v>386</v>
      </c>
      <c r="K29" s="97"/>
      <c r="L29" s="97"/>
    </row>
    <row r="30" spans="1:12" ht="18" customHeight="1">
      <c r="A30" s="97" t="s">
        <v>261</v>
      </c>
      <c r="B30" s="125" t="s">
        <v>387</v>
      </c>
      <c r="C30" s="97"/>
      <c r="D30" s="97"/>
      <c r="E30" s="97"/>
      <c r="F30" s="97"/>
      <c r="G30" s="104" t="s">
        <v>362</v>
      </c>
      <c r="H30" s="97"/>
      <c r="I30" s="97"/>
      <c r="J30" s="97"/>
      <c r="K30" s="97"/>
      <c r="L30" s="97"/>
    </row>
    <row r="31" spans="1:12" ht="9.9499999999999993" customHeight="1">
      <c r="A31" s="97"/>
      <c r="B31" s="125"/>
      <c r="C31" s="97"/>
      <c r="D31" s="97"/>
      <c r="E31" s="97"/>
      <c r="F31" s="97"/>
      <c r="G31" s="104"/>
      <c r="H31" s="97"/>
      <c r="I31" s="97"/>
      <c r="J31" s="97"/>
      <c r="K31" s="97"/>
      <c r="L31" s="97"/>
    </row>
    <row r="32" spans="1:12" ht="21.95" customHeight="1" thickBot="1">
      <c r="A32" s="113" t="s">
        <v>388</v>
      </c>
      <c r="B32" s="100"/>
      <c r="C32" s="100"/>
      <c r="D32" s="100"/>
      <c r="E32" s="100"/>
      <c r="F32" s="113"/>
      <c r="G32" s="119" t="s">
        <v>389</v>
      </c>
      <c r="H32" s="100"/>
      <c r="I32" s="100"/>
      <c r="J32" s="100"/>
      <c r="K32" s="101"/>
      <c r="L32" s="100"/>
    </row>
    <row r="33" spans="1:12" ht="6" customHeight="1" thickTop="1">
      <c r="A33" s="97"/>
      <c r="B33" s="97"/>
      <c r="D33" s="97"/>
      <c r="E33" s="97"/>
      <c r="F33" s="97"/>
      <c r="G33" s="97"/>
      <c r="H33" s="97"/>
      <c r="I33" s="97"/>
      <c r="J33" s="97"/>
      <c r="L33" s="97"/>
    </row>
    <row r="34" spans="1:12" ht="18" customHeight="1">
      <c r="A34" s="97"/>
      <c r="B34" s="126" t="s">
        <v>187</v>
      </c>
      <c r="E34" s="97"/>
      <c r="F34" s="97"/>
      <c r="G34" s="121" t="s">
        <v>329</v>
      </c>
      <c r="I34" s="97"/>
      <c r="J34" s="97"/>
      <c r="K34" s="97"/>
      <c r="L34" s="97"/>
    </row>
    <row r="35" spans="1:12">
      <c r="A35" s="97"/>
      <c r="B35" s="127"/>
      <c r="C35" s="97"/>
      <c r="E35" s="97"/>
      <c r="F35" s="97"/>
      <c r="G35" s="120" t="s">
        <v>330</v>
      </c>
      <c r="I35" s="97"/>
      <c r="J35" s="97"/>
      <c r="K35" s="97"/>
      <c r="L35" s="97"/>
    </row>
    <row r="36" spans="1:12" ht="18" customHeight="1">
      <c r="A36" s="97"/>
      <c r="B36" s="126" t="s">
        <v>331</v>
      </c>
      <c r="C36" s="97"/>
      <c r="D36" s="97"/>
      <c r="E36" s="97"/>
      <c r="F36" s="97"/>
      <c r="G36" s="121" t="s">
        <v>332</v>
      </c>
      <c r="I36" s="97"/>
      <c r="J36" s="97"/>
      <c r="K36" s="97"/>
      <c r="L36" s="97"/>
    </row>
    <row r="37" spans="1:12" ht="15" customHeight="1">
      <c r="A37" s="97"/>
      <c r="B37" s="127"/>
      <c r="C37" s="97"/>
      <c r="D37" s="97"/>
      <c r="E37" s="97"/>
      <c r="F37" s="97"/>
      <c r="G37" s="120" t="s">
        <v>333</v>
      </c>
      <c r="I37" s="97"/>
      <c r="J37" s="97"/>
      <c r="K37" s="97"/>
      <c r="L37" s="97"/>
    </row>
    <row r="38" spans="1:12" ht="18" customHeight="1">
      <c r="A38" s="97"/>
      <c r="B38" s="126" t="s">
        <v>334</v>
      </c>
      <c r="C38" s="97"/>
      <c r="D38" s="97"/>
      <c r="E38" s="97"/>
      <c r="F38" s="97"/>
      <c r="G38" s="121" t="s">
        <v>335</v>
      </c>
      <c r="I38" s="97"/>
      <c r="J38" s="97"/>
      <c r="K38" s="97"/>
      <c r="L38" s="97"/>
    </row>
    <row r="39" spans="1:12">
      <c r="A39" s="97"/>
      <c r="B39" s="128"/>
      <c r="C39" s="97"/>
      <c r="D39" s="97"/>
      <c r="E39" s="97"/>
      <c r="F39" s="97"/>
      <c r="G39" s="120" t="s">
        <v>336</v>
      </c>
      <c r="I39" s="97"/>
      <c r="J39" s="97"/>
      <c r="K39" s="97"/>
      <c r="L39" s="97"/>
    </row>
    <row r="40" spans="1:12" ht="21.95" customHeight="1" thickBot="1">
      <c r="A40" s="113" t="s">
        <v>337</v>
      </c>
      <c r="B40" s="100"/>
      <c r="C40" s="100"/>
      <c r="D40" s="100"/>
      <c r="E40" s="100"/>
      <c r="F40" s="100"/>
      <c r="G40" s="100"/>
      <c r="H40" s="100"/>
      <c r="I40" s="100"/>
      <c r="J40" s="100"/>
      <c r="K40" s="101"/>
      <c r="L40" s="100"/>
    </row>
    <row r="41" spans="1:12" ht="12" customHeight="1" thickTop="1">
      <c r="A41" s="97"/>
      <c r="B41" s="97"/>
      <c r="C41" s="97"/>
      <c r="D41" s="97"/>
      <c r="E41" s="97"/>
      <c r="F41" s="97"/>
      <c r="G41" s="97"/>
      <c r="H41" s="97"/>
      <c r="I41" s="97"/>
      <c r="J41" s="97"/>
      <c r="K41" s="97"/>
      <c r="L41" s="97"/>
    </row>
    <row r="42" spans="1:12" ht="15" customHeight="1">
      <c r="A42" s="103"/>
      <c r="B42" s="97" t="s">
        <v>338</v>
      </c>
      <c r="C42" s="97"/>
      <c r="D42" s="99" t="s">
        <v>339</v>
      </c>
      <c r="E42" s="97"/>
      <c r="F42" s="97"/>
      <c r="G42" s="97"/>
      <c r="H42" s="97"/>
      <c r="I42" s="97"/>
      <c r="J42" s="97"/>
      <c r="K42" s="97"/>
      <c r="L42" s="97"/>
    </row>
    <row r="43" spans="1:12" ht="18" customHeight="1">
      <c r="A43" s="97"/>
      <c r="B43" s="97"/>
      <c r="C43" s="97"/>
      <c r="D43" s="99" t="s">
        <v>340</v>
      </c>
      <c r="E43" s="97"/>
      <c r="F43" s="97"/>
      <c r="G43" s="97"/>
      <c r="H43" s="97"/>
      <c r="I43" s="97"/>
      <c r="J43" s="97"/>
      <c r="K43" s="97"/>
      <c r="L43" s="97"/>
    </row>
    <row r="44" spans="1:12" ht="15" customHeight="1">
      <c r="A44" s="97"/>
      <c r="B44" s="97"/>
      <c r="C44" s="102" t="s">
        <v>341</v>
      </c>
      <c r="D44" s="104" t="s">
        <v>342</v>
      </c>
      <c r="E44" s="97"/>
      <c r="F44" s="97"/>
      <c r="G44" s="97"/>
      <c r="H44" s="97"/>
      <c r="I44" s="97"/>
      <c r="J44" s="97"/>
      <c r="K44" s="97"/>
      <c r="L44" s="97"/>
    </row>
    <row r="45" spans="1:12" ht="15" customHeight="1">
      <c r="C45" s="97"/>
      <c r="D45" s="104" t="s">
        <v>343</v>
      </c>
      <c r="E45" s="97"/>
      <c r="F45" s="97"/>
      <c r="G45" s="97"/>
      <c r="H45" s="97"/>
      <c r="I45" s="97"/>
      <c r="J45" s="97"/>
      <c r="K45" s="97"/>
      <c r="L45" s="97"/>
    </row>
    <row r="46" spans="1:12" ht="18" customHeight="1">
      <c r="C46" s="122" t="s">
        <v>341</v>
      </c>
      <c r="D46" s="123" t="s">
        <v>390</v>
      </c>
      <c r="E46" s="97"/>
      <c r="F46" s="97"/>
      <c r="G46" s="97"/>
      <c r="H46" s="97"/>
      <c r="I46" s="97"/>
      <c r="J46" s="97"/>
      <c r="K46" s="97"/>
      <c r="L46" s="97"/>
    </row>
    <row r="47" spans="1:12" ht="15" customHeight="1">
      <c r="A47" s="97"/>
      <c r="B47" s="97"/>
      <c r="C47" s="97"/>
      <c r="D47" s="97"/>
      <c r="E47" s="97"/>
      <c r="F47" s="97"/>
      <c r="G47" s="97"/>
      <c r="H47" s="97"/>
      <c r="I47" s="97"/>
      <c r="J47" s="97"/>
      <c r="K47" s="97"/>
      <c r="L47" s="97"/>
    </row>
    <row r="48" spans="1:12">
      <c r="A48" s="103"/>
      <c r="B48" s="97" t="s">
        <v>344</v>
      </c>
      <c r="C48" s="97"/>
      <c r="D48" s="99" t="s">
        <v>345</v>
      </c>
      <c r="E48" s="97"/>
      <c r="F48" s="97"/>
      <c r="G48" s="97"/>
      <c r="H48" s="97"/>
      <c r="I48" s="97"/>
      <c r="J48" s="97"/>
      <c r="K48" s="97"/>
      <c r="L48" s="97"/>
    </row>
    <row r="49" spans="1:12" ht="18" customHeight="1">
      <c r="A49" s="97"/>
      <c r="B49" s="97"/>
      <c r="C49" s="97"/>
      <c r="D49" s="99" t="s">
        <v>346</v>
      </c>
      <c r="E49" s="97"/>
      <c r="F49" s="97"/>
      <c r="G49" s="97"/>
      <c r="H49" s="97"/>
      <c r="I49" s="97"/>
      <c r="J49" s="97"/>
      <c r="K49" s="97"/>
      <c r="L49" s="97"/>
    </row>
    <row r="50" spans="1:12" ht="15" customHeight="1">
      <c r="A50" s="97"/>
      <c r="B50" s="97"/>
      <c r="C50" s="102" t="s">
        <v>341</v>
      </c>
      <c r="D50" s="104" t="s">
        <v>347</v>
      </c>
      <c r="E50" s="97"/>
      <c r="F50" s="97"/>
      <c r="G50" s="97"/>
      <c r="H50" s="97"/>
      <c r="I50" s="97"/>
      <c r="J50" s="97"/>
      <c r="K50" s="97"/>
      <c r="L50" s="97"/>
    </row>
    <row r="51" spans="1:12" ht="15" customHeight="1">
      <c r="A51" s="97"/>
      <c r="B51" s="97"/>
      <c r="C51" s="102" t="s">
        <v>341</v>
      </c>
      <c r="D51" s="104" t="s">
        <v>391</v>
      </c>
      <c r="E51" s="97"/>
      <c r="F51" s="97"/>
      <c r="G51" s="97"/>
      <c r="H51" s="97"/>
      <c r="I51" s="97"/>
      <c r="J51" s="97"/>
      <c r="K51" s="97"/>
      <c r="L51" s="97"/>
    </row>
    <row r="52" spans="1:12">
      <c r="A52" s="97"/>
      <c r="B52" s="97"/>
      <c r="C52" s="102" t="s">
        <v>341</v>
      </c>
      <c r="D52" s="104" t="s">
        <v>349</v>
      </c>
      <c r="E52" s="97"/>
      <c r="F52" s="97"/>
      <c r="G52" s="97"/>
      <c r="H52" s="97"/>
      <c r="I52" s="97"/>
      <c r="J52" s="97"/>
      <c r="K52" s="97"/>
      <c r="L52" s="97"/>
    </row>
    <row r="53" spans="1:12">
      <c r="A53" s="97"/>
      <c r="B53" s="97"/>
      <c r="C53" s="102"/>
      <c r="D53" s="104" t="s">
        <v>350</v>
      </c>
      <c r="E53" s="97"/>
      <c r="F53" s="97"/>
      <c r="G53" s="97"/>
      <c r="H53" s="97"/>
      <c r="I53" s="97"/>
      <c r="J53" s="97"/>
      <c r="K53" s="97"/>
      <c r="L53" s="97"/>
    </row>
    <row r="54" spans="1:12">
      <c r="A54" s="97"/>
      <c r="B54" s="97"/>
      <c r="C54" s="102" t="s">
        <v>341</v>
      </c>
      <c r="D54" s="104" t="s">
        <v>351</v>
      </c>
      <c r="E54" s="97"/>
      <c r="F54" s="97"/>
      <c r="G54" s="97"/>
      <c r="H54" s="97"/>
      <c r="I54" s="97"/>
      <c r="J54" s="97"/>
      <c r="K54" s="97"/>
      <c r="L54" s="97"/>
    </row>
    <row r="55" spans="1:12" ht="15" customHeight="1">
      <c r="A55" s="97"/>
      <c r="B55" s="97"/>
      <c r="C55" s="102"/>
      <c r="D55" s="104" t="s">
        <v>352</v>
      </c>
      <c r="E55" s="97"/>
      <c r="F55" s="97"/>
      <c r="G55" s="97"/>
      <c r="H55" s="97"/>
      <c r="I55" s="97"/>
      <c r="J55" s="97"/>
      <c r="K55" s="97"/>
      <c r="L55" s="97"/>
    </row>
    <row r="56" spans="1:12" ht="24.95" customHeight="1">
      <c r="A56" s="97"/>
      <c r="B56" s="116"/>
      <c r="C56" s="97"/>
      <c r="D56" s="97"/>
      <c r="E56" s="97"/>
      <c r="F56" s="97"/>
      <c r="G56" s="97"/>
      <c r="H56" s="97"/>
      <c r="I56" s="97"/>
      <c r="J56" s="97"/>
      <c r="K56" s="97"/>
      <c r="L56" s="97"/>
    </row>
    <row r="57" spans="1:12" ht="18" customHeight="1">
      <c r="B57" s="97"/>
      <c r="C57" s="97"/>
      <c r="D57" s="97"/>
      <c r="E57" s="97"/>
      <c r="F57" s="97"/>
      <c r="G57" s="97"/>
      <c r="I57" s="97"/>
      <c r="J57" s="102" t="s">
        <v>363</v>
      </c>
      <c r="L57" s="118" t="str">
        <f ca="1">TEXT(NOW(),"TT. MMM. JJJJ")</f>
        <v>16. Feb. 2026</v>
      </c>
    </row>
    <row r="61" spans="1:12">
      <c r="H61" s="97"/>
      <c r="I61" s="97"/>
      <c r="J61" s="97"/>
      <c r="K61" s="97"/>
    </row>
  </sheetData>
  <mergeCells count="4">
    <mergeCell ref="D5:G6"/>
    <mergeCell ref="B8:E8"/>
    <mergeCell ref="A10:A11"/>
    <mergeCell ref="I10:I11"/>
  </mergeCells>
  <hyperlinks>
    <hyperlink ref="B36" r:id="rId1" xr:uid="{0B85CBB2-69F3-46A8-B7FE-1AE46A519BAC}"/>
    <hyperlink ref="B34" r:id="rId2" xr:uid="{3EC665C8-2A22-47D1-8ED3-B51E836E2116}"/>
    <hyperlink ref="B38" r:id="rId3" xr:uid="{7FC5025F-F3CF-46C4-B506-D9DE9ED68BC8}"/>
    <hyperlink ref="B29" r:id="rId4" xr:uid="{9A0A5620-D253-4E18-8D0A-B06E340F9281}"/>
    <hyperlink ref="B28" r:id="rId5" xr:uid="{75D6476B-CDB5-4056-8F3E-EF1AE4BC0328}"/>
    <hyperlink ref="B30" r:id="rId6" xr:uid="{D152D483-E79B-44D2-9E82-4CBE2A694625}"/>
    <hyperlink ref="B27" r:id="rId7" xr:uid="{D5E9FD79-4AC8-4354-B69B-2EA71106E3AF}"/>
    <hyperlink ref="F11" r:id="rId8" xr:uid="{85931BBD-8706-4B43-BC69-D49A44890C4B}"/>
    <hyperlink ref="F10" r:id="rId9" xr:uid="{14B09962-609A-42AF-B858-604747383D56}"/>
    <hyperlink ref="B23" r:id="rId10" xr:uid="{0C859FE0-5B0A-47D3-BC3E-4348AC37D90A}"/>
    <hyperlink ref="B25" r:id="rId11" xr:uid="{2B972743-7A82-45CF-9D65-F23973E84C4D}"/>
    <hyperlink ref="B26" r:id="rId12" xr:uid="{1D248427-C8DF-4427-87BE-B0A4367EC6AD}"/>
    <hyperlink ref="B24" r:id="rId13" xr:uid="{2C6A40EC-B7BA-4277-B028-1442D3FBACEA}"/>
  </hyperlinks>
  <printOptions horizontalCentered="1" verticalCentered="1"/>
  <pageMargins left="0" right="0" top="0" bottom="0" header="0" footer="0"/>
  <pageSetup paperSize="9" orientation="portrait" r:id="rId14"/>
  <drawing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54AA-7222-4B2A-BF44-09269D81B2D2}">
  <dimension ref="A1:L61"/>
  <sheetViews>
    <sheetView workbookViewId="0">
      <selection activeCell="D45" sqref="D45"/>
    </sheetView>
  </sheetViews>
  <sheetFormatPr defaultRowHeight="15"/>
  <cols>
    <col min="1" max="1" width="5.7109375" customWidth="1"/>
    <col min="12" max="12" width="5.7109375" customWidth="1"/>
  </cols>
  <sheetData>
    <row r="1" spans="1:12" ht="8.1" customHeight="1">
      <c r="A1" s="95"/>
      <c r="B1" s="95"/>
      <c r="C1" s="95"/>
      <c r="D1" s="95"/>
      <c r="E1" s="95"/>
      <c r="F1" s="95"/>
      <c r="G1" s="95"/>
      <c r="H1" s="95"/>
      <c r="I1" s="95"/>
      <c r="J1" s="95"/>
      <c r="K1" s="95"/>
      <c r="L1" s="95"/>
    </row>
    <row r="2" spans="1:12" ht="15" customHeight="1">
      <c r="A2" s="363" t="s">
        <v>394</v>
      </c>
      <c r="B2" s="364"/>
      <c r="C2" s="364"/>
      <c r="D2" s="364"/>
      <c r="E2" s="364"/>
      <c r="F2" s="364"/>
      <c r="G2" s="364"/>
      <c r="H2" s="364"/>
      <c r="I2" s="364"/>
      <c r="J2" s="364"/>
      <c r="K2" s="364"/>
      <c r="L2" s="364"/>
    </row>
    <row r="3" spans="1:12">
      <c r="A3" s="364"/>
      <c r="B3" s="364"/>
      <c r="C3" s="364"/>
      <c r="D3" s="364"/>
      <c r="E3" s="364"/>
      <c r="F3" s="364"/>
      <c r="G3" s="364"/>
      <c r="H3" s="364"/>
      <c r="I3" s="364"/>
      <c r="J3" s="364"/>
      <c r="K3" s="364"/>
      <c r="L3" s="364"/>
    </row>
    <row r="4" spans="1:12">
      <c r="A4" s="364"/>
      <c r="B4" s="364"/>
      <c r="C4" s="364"/>
      <c r="D4" s="364"/>
      <c r="E4" s="364"/>
      <c r="F4" s="364"/>
      <c r="G4" s="364"/>
      <c r="H4" s="364"/>
      <c r="I4" s="364"/>
      <c r="J4" s="364"/>
      <c r="K4" s="364"/>
      <c r="L4" s="364"/>
    </row>
    <row r="5" spans="1:12" ht="8.1" customHeight="1">
      <c r="A5" s="138"/>
      <c r="B5" s="138"/>
      <c r="C5" s="138"/>
      <c r="D5" s="138"/>
      <c r="E5" s="138"/>
      <c r="F5" s="138"/>
      <c r="G5" s="138"/>
      <c r="H5" s="138"/>
      <c r="I5" s="138"/>
      <c r="J5" s="138"/>
      <c r="K5" s="138"/>
      <c r="L5" s="138"/>
    </row>
    <row r="6" spans="1:12" ht="18" customHeight="1">
      <c r="A6" s="136"/>
      <c r="B6" s="136"/>
      <c r="C6" s="136"/>
      <c r="D6" s="362"/>
      <c r="E6" s="136" t="s">
        <v>365</v>
      </c>
      <c r="F6" s="136"/>
      <c r="G6" s="136"/>
      <c r="H6" s="136"/>
      <c r="I6" s="137" t="s">
        <v>3</v>
      </c>
      <c r="J6" s="136"/>
      <c r="K6" s="136"/>
      <c r="L6" s="136"/>
    </row>
    <row r="7" spans="1:12" ht="18" customHeight="1">
      <c r="A7" s="136"/>
      <c r="B7" s="136"/>
      <c r="C7" s="136"/>
      <c r="D7" s="362"/>
      <c r="E7" s="139" t="s">
        <v>319</v>
      </c>
      <c r="F7" s="136"/>
      <c r="G7" s="136"/>
      <c r="H7" s="136"/>
      <c r="I7" s="137" t="s">
        <v>190</v>
      </c>
      <c r="J7" s="136"/>
      <c r="K7" s="136"/>
      <c r="L7" s="136"/>
    </row>
    <row r="8" spans="1:12" ht="18" customHeight="1">
      <c r="A8" s="136"/>
      <c r="B8" s="136"/>
      <c r="C8" s="136"/>
      <c r="D8" s="136"/>
      <c r="E8" s="136"/>
      <c r="F8" s="136"/>
      <c r="G8" s="136"/>
      <c r="H8" s="136"/>
      <c r="I8" s="136"/>
      <c r="J8" s="136"/>
      <c r="K8" s="136"/>
      <c r="L8" s="136"/>
    </row>
    <row r="9" spans="1:12" ht="9.9499999999999993" customHeight="1">
      <c r="A9" s="97"/>
      <c r="B9" s="97"/>
      <c r="C9" s="97"/>
      <c r="D9" s="97"/>
      <c r="E9" s="97"/>
      <c r="F9" s="97"/>
      <c r="G9" s="97"/>
      <c r="H9" s="97"/>
      <c r="I9" s="97"/>
      <c r="J9" s="97"/>
      <c r="K9" s="97"/>
      <c r="L9" s="97"/>
    </row>
    <row r="10" spans="1:12" ht="18" customHeight="1">
      <c r="A10" s="103"/>
      <c r="B10" s="97" t="s">
        <v>395</v>
      </c>
      <c r="C10" s="97"/>
      <c r="D10" s="97"/>
      <c r="E10" s="97" t="s">
        <v>396</v>
      </c>
      <c r="F10" s="97"/>
      <c r="G10" s="97"/>
      <c r="H10" s="135" t="s">
        <v>397</v>
      </c>
      <c r="I10" s="97"/>
      <c r="J10" s="97" t="s">
        <v>398</v>
      </c>
      <c r="K10" s="97"/>
      <c r="L10" s="97"/>
    </row>
    <row r="11" spans="1:12" ht="15" customHeight="1">
      <c r="A11" s="97"/>
      <c r="B11" s="97" t="s">
        <v>399</v>
      </c>
      <c r="C11" s="97"/>
      <c r="D11" s="97"/>
      <c r="E11" s="97" t="s">
        <v>400</v>
      </c>
      <c r="F11" s="97"/>
      <c r="G11" s="97"/>
      <c r="H11" s="135" t="s">
        <v>401</v>
      </c>
      <c r="I11" s="97"/>
      <c r="J11" s="97" t="s">
        <v>402</v>
      </c>
      <c r="K11" s="97"/>
      <c r="L11" s="97"/>
    </row>
    <row r="12" spans="1:12">
      <c r="A12" s="97"/>
      <c r="B12" s="97" t="s">
        <v>403</v>
      </c>
      <c r="C12" s="97"/>
      <c r="D12" s="97"/>
      <c r="E12" s="97" t="s">
        <v>404</v>
      </c>
      <c r="F12" s="97"/>
      <c r="G12" s="97"/>
      <c r="H12" s="97" t="s">
        <v>405</v>
      </c>
      <c r="I12" s="97"/>
      <c r="J12" s="135" t="s">
        <v>406</v>
      </c>
      <c r="K12" s="97"/>
      <c r="L12" s="97"/>
    </row>
    <row r="13" spans="1:12" ht="15" customHeight="1">
      <c r="A13" s="97"/>
      <c r="B13" s="97" t="s">
        <v>407</v>
      </c>
      <c r="C13" s="97"/>
      <c r="D13" s="97"/>
      <c r="E13" t="s">
        <v>408</v>
      </c>
      <c r="F13" s="97"/>
      <c r="G13" s="135"/>
      <c r="H13" s="135" t="s">
        <v>409</v>
      </c>
      <c r="I13" s="97"/>
      <c r="J13" s="135" t="s">
        <v>410</v>
      </c>
      <c r="K13" s="97"/>
      <c r="L13" s="97"/>
    </row>
    <row r="14" spans="1:12" ht="8.1" customHeight="1">
      <c r="A14" s="97"/>
      <c r="B14" s="97"/>
      <c r="D14" s="97"/>
      <c r="E14" s="97"/>
      <c r="F14" s="97"/>
      <c r="G14" s="97"/>
      <c r="H14" s="97"/>
      <c r="I14" s="97"/>
      <c r="J14" s="97"/>
      <c r="K14" s="97"/>
      <c r="L14" s="97"/>
    </row>
    <row r="15" spans="1:12" ht="18" customHeight="1">
      <c r="A15" s="103"/>
      <c r="B15" t="s">
        <v>411</v>
      </c>
      <c r="D15" s="97"/>
      <c r="E15" s="97"/>
      <c r="F15" s="97"/>
      <c r="G15" s="97"/>
      <c r="H15" s="97"/>
      <c r="I15" s="97"/>
      <c r="J15" s="97"/>
      <c r="K15" s="97"/>
      <c r="L15" s="97"/>
    </row>
    <row r="16" spans="1:12">
      <c r="A16" s="103"/>
      <c r="B16" t="s">
        <v>412</v>
      </c>
      <c r="D16" s="97"/>
      <c r="E16" s="97"/>
      <c r="F16" s="97"/>
      <c r="G16" s="97"/>
      <c r="H16" s="97"/>
      <c r="I16" s="97"/>
      <c r="J16" s="97"/>
      <c r="K16" s="97"/>
      <c r="L16" s="97"/>
    </row>
    <row r="17" spans="1:12" ht="6" customHeight="1">
      <c r="A17" s="103"/>
      <c r="D17" s="97"/>
      <c r="E17" s="97"/>
      <c r="F17" s="97"/>
      <c r="G17" s="97"/>
      <c r="H17" s="97"/>
      <c r="I17" s="97"/>
      <c r="J17" s="97"/>
      <c r="K17" s="97"/>
      <c r="L17" s="97"/>
    </row>
    <row r="18" spans="1:12" ht="18" customHeight="1">
      <c r="A18" s="141" t="s">
        <v>380</v>
      </c>
      <c r="B18" s="97"/>
      <c r="C18" s="97"/>
      <c r="D18" s="97"/>
      <c r="E18" s="97"/>
      <c r="F18" s="97"/>
      <c r="G18" s="97"/>
      <c r="H18" s="142"/>
      <c r="I18" s="97"/>
      <c r="J18" s="97"/>
      <c r="L18" s="97"/>
    </row>
    <row r="19" spans="1:12" ht="6" customHeight="1">
      <c r="A19" s="97"/>
      <c r="B19" s="97"/>
      <c r="C19" s="97"/>
      <c r="D19" s="97"/>
      <c r="E19" s="97"/>
      <c r="F19" s="97"/>
      <c r="G19" s="97"/>
      <c r="H19" s="97"/>
      <c r="I19" s="97"/>
      <c r="J19" s="97"/>
      <c r="K19" s="97"/>
      <c r="L19" s="97"/>
    </row>
    <row r="20" spans="1:12" ht="18" customHeight="1">
      <c r="A20" s="97" t="s">
        <v>261</v>
      </c>
      <c r="B20" s="125" t="s">
        <v>381</v>
      </c>
      <c r="C20" s="97"/>
      <c r="D20" s="97"/>
      <c r="E20" s="97"/>
      <c r="F20" s="97"/>
      <c r="G20" s="140" t="s">
        <v>413</v>
      </c>
      <c r="H20" s="97"/>
      <c r="I20" s="97"/>
      <c r="J20" s="97"/>
      <c r="L20" s="97"/>
    </row>
    <row r="21" spans="1:12" ht="18" customHeight="1">
      <c r="A21" s="97" t="s">
        <v>261</v>
      </c>
      <c r="B21" s="125" t="s">
        <v>354</v>
      </c>
      <c r="C21" s="97"/>
      <c r="D21" s="97"/>
      <c r="E21" s="97"/>
      <c r="F21" s="97"/>
      <c r="G21" s="140" t="s">
        <v>414</v>
      </c>
      <c r="H21" s="97"/>
      <c r="I21" s="97"/>
      <c r="J21" s="97"/>
      <c r="L21" s="97"/>
    </row>
    <row r="22" spans="1:12" ht="18" customHeight="1">
      <c r="A22" s="97" t="s">
        <v>261</v>
      </c>
      <c r="B22" s="125" t="s">
        <v>383</v>
      </c>
      <c r="C22" s="97"/>
      <c r="D22" s="97"/>
      <c r="E22" s="97"/>
      <c r="F22" s="97"/>
      <c r="G22" s="140" t="s">
        <v>415</v>
      </c>
      <c r="H22" s="97"/>
      <c r="I22" s="97"/>
      <c r="J22" s="97"/>
      <c r="K22" s="97"/>
      <c r="L22" s="97"/>
    </row>
    <row r="23" spans="1:12" ht="18" customHeight="1">
      <c r="A23" s="97" t="s">
        <v>261</v>
      </c>
      <c r="B23" s="125" t="s">
        <v>356</v>
      </c>
      <c r="C23" s="97"/>
      <c r="D23" s="97"/>
      <c r="E23" s="97"/>
      <c r="F23" s="97"/>
      <c r="G23" s="140" t="s">
        <v>416</v>
      </c>
      <c r="H23" s="97"/>
      <c r="I23" s="97"/>
      <c r="J23" s="97"/>
      <c r="K23" s="97"/>
      <c r="L23" s="97"/>
    </row>
    <row r="24" spans="1:12" ht="18" customHeight="1">
      <c r="A24" s="97" t="s">
        <v>261</v>
      </c>
      <c r="B24" s="125" t="s">
        <v>284</v>
      </c>
      <c r="C24" s="97"/>
      <c r="D24" s="97"/>
      <c r="E24" s="97"/>
      <c r="F24" s="97"/>
      <c r="G24" s="140" t="s">
        <v>417</v>
      </c>
      <c r="H24" s="97"/>
      <c r="I24" s="97"/>
      <c r="J24" s="97"/>
      <c r="K24" s="97"/>
      <c r="L24" s="97"/>
    </row>
    <row r="25" spans="1:12" ht="18" customHeight="1">
      <c r="A25" s="97" t="s">
        <v>261</v>
      </c>
      <c r="B25" s="125" t="s">
        <v>359</v>
      </c>
      <c r="C25" s="97"/>
      <c r="D25" s="97"/>
      <c r="E25" s="97"/>
      <c r="F25" s="97"/>
      <c r="G25" s="140" t="s">
        <v>418</v>
      </c>
      <c r="H25" s="97"/>
      <c r="I25" s="97"/>
      <c r="J25" s="97"/>
      <c r="K25" s="97"/>
      <c r="L25" s="97"/>
    </row>
    <row r="26" spans="1:12" ht="18" customHeight="1">
      <c r="A26" s="97" t="s">
        <v>261</v>
      </c>
      <c r="B26" s="125" t="s">
        <v>76</v>
      </c>
      <c r="C26" s="97"/>
      <c r="D26" s="97"/>
      <c r="E26" s="97"/>
      <c r="F26" s="97"/>
      <c r="G26" s="140" t="s">
        <v>419</v>
      </c>
      <c r="K26" s="97"/>
      <c r="L26" s="97"/>
    </row>
    <row r="27" spans="1:12" ht="18" customHeight="1">
      <c r="A27" s="97" t="s">
        <v>261</v>
      </c>
      <c r="B27" s="125" t="s">
        <v>387</v>
      </c>
      <c r="C27" s="97"/>
      <c r="D27" s="97"/>
      <c r="E27" s="97"/>
      <c r="F27" s="97"/>
      <c r="G27" s="140" t="s">
        <v>420</v>
      </c>
      <c r="H27" s="97"/>
      <c r="I27" s="97"/>
      <c r="J27" s="97"/>
      <c r="K27" s="97"/>
      <c r="L27" s="97"/>
    </row>
    <row r="28" spans="1:12" ht="6" customHeight="1">
      <c r="A28" s="97"/>
      <c r="B28" s="125"/>
      <c r="C28" s="97"/>
      <c r="D28" s="97"/>
      <c r="E28" s="97"/>
      <c r="F28" s="97"/>
      <c r="G28" s="104"/>
      <c r="H28" s="97"/>
      <c r="I28" s="97"/>
      <c r="J28" s="97"/>
      <c r="K28" s="97"/>
      <c r="L28" s="97"/>
    </row>
    <row r="29" spans="1:12" ht="18" customHeight="1">
      <c r="A29" s="141" t="s">
        <v>388</v>
      </c>
      <c r="B29" s="97"/>
      <c r="C29" s="97"/>
      <c r="D29" s="97"/>
      <c r="E29" s="97"/>
      <c r="F29" s="143" t="s">
        <v>389</v>
      </c>
      <c r="G29" s="144"/>
      <c r="H29" s="97"/>
      <c r="I29" s="97"/>
      <c r="J29" s="97"/>
      <c r="L29" s="97"/>
    </row>
    <row r="30" spans="1:12" ht="6" customHeight="1">
      <c r="A30" s="97"/>
      <c r="B30" s="97"/>
      <c r="D30" s="97"/>
      <c r="E30" s="97"/>
      <c r="F30" s="97"/>
      <c r="G30" s="97"/>
      <c r="H30" s="97"/>
      <c r="I30" s="97"/>
      <c r="J30" s="97"/>
      <c r="L30" s="97"/>
    </row>
    <row r="31" spans="1:12" ht="18" customHeight="1">
      <c r="A31" s="97"/>
      <c r="B31" s="126" t="s">
        <v>187</v>
      </c>
      <c r="E31" s="97"/>
      <c r="F31" s="97"/>
      <c r="G31" s="121" t="s">
        <v>329</v>
      </c>
      <c r="I31" s="97"/>
      <c r="J31" s="97"/>
      <c r="K31" s="97"/>
      <c r="L31" s="97"/>
    </row>
    <row r="32" spans="1:12">
      <c r="A32" s="97"/>
      <c r="B32" s="127"/>
      <c r="C32" s="97"/>
      <c r="E32" s="97"/>
      <c r="F32" s="97"/>
      <c r="G32" s="120" t="s">
        <v>421</v>
      </c>
      <c r="I32" s="97"/>
      <c r="J32" s="97"/>
      <c r="K32" s="97"/>
      <c r="L32" s="97"/>
    </row>
    <row r="33" spans="1:12" ht="18" customHeight="1">
      <c r="A33" s="97"/>
      <c r="B33" s="126" t="s">
        <v>331</v>
      </c>
      <c r="C33" s="97"/>
      <c r="D33" s="97"/>
      <c r="E33" s="97"/>
      <c r="F33" s="97"/>
      <c r="G33" s="121" t="s">
        <v>332</v>
      </c>
      <c r="I33" s="97"/>
      <c r="J33" s="97"/>
      <c r="K33" s="97"/>
      <c r="L33" s="97"/>
    </row>
    <row r="34" spans="1:12" ht="15" customHeight="1">
      <c r="A34" s="97"/>
      <c r="B34" s="127"/>
      <c r="C34" s="97"/>
      <c r="D34" s="97"/>
      <c r="E34" s="97"/>
      <c r="F34" s="97"/>
      <c r="G34" s="120" t="s">
        <v>422</v>
      </c>
      <c r="I34" s="97"/>
      <c r="J34" s="97"/>
      <c r="K34" s="97"/>
      <c r="L34" s="97"/>
    </row>
    <row r="35" spans="1:12" ht="18" customHeight="1">
      <c r="A35" s="97"/>
      <c r="B35" s="126" t="s">
        <v>334</v>
      </c>
      <c r="C35" s="97"/>
      <c r="D35" s="97"/>
      <c r="E35" s="97"/>
      <c r="F35" s="97"/>
      <c r="G35" s="121" t="s">
        <v>335</v>
      </c>
      <c r="I35" s="97"/>
      <c r="J35" s="97"/>
      <c r="K35" s="97"/>
      <c r="L35" s="97"/>
    </row>
    <row r="36" spans="1:12">
      <c r="A36" s="97"/>
      <c r="B36" s="128"/>
      <c r="C36" s="97"/>
      <c r="D36" s="97"/>
      <c r="E36" s="97"/>
      <c r="F36" s="97"/>
      <c r="G36" s="120" t="s">
        <v>423</v>
      </c>
      <c r="I36" s="97"/>
      <c r="J36" s="97"/>
      <c r="K36" s="97"/>
      <c r="L36" s="97"/>
    </row>
    <row r="37" spans="1:12" ht="18" customHeight="1">
      <c r="A37" s="141" t="s">
        <v>337</v>
      </c>
      <c r="B37" s="97"/>
      <c r="C37" s="97"/>
      <c r="D37" s="97"/>
      <c r="E37" s="97"/>
      <c r="F37" s="97"/>
      <c r="G37" s="97"/>
      <c r="H37" s="97"/>
      <c r="I37" s="97"/>
      <c r="J37" s="97"/>
      <c r="L37" s="97"/>
    </row>
    <row r="38" spans="1:12" ht="6" customHeight="1">
      <c r="A38" s="97"/>
      <c r="B38" s="97"/>
      <c r="C38" s="97"/>
      <c r="D38" s="97"/>
      <c r="E38" s="97"/>
      <c r="F38" s="97"/>
      <c r="G38" s="97"/>
      <c r="H38" s="97"/>
      <c r="I38" s="97"/>
      <c r="J38" s="97"/>
      <c r="K38" s="97"/>
      <c r="L38" s="97"/>
    </row>
    <row r="39" spans="1:12" ht="15" customHeight="1">
      <c r="A39" s="103"/>
      <c r="B39" s="97" t="s">
        <v>338</v>
      </c>
      <c r="C39" s="97"/>
      <c r="D39" s="99" t="s">
        <v>424</v>
      </c>
      <c r="E39" s="97"/>
      <c r="F39" s="97"/>
      <c r="G39" s="97"/>
      <c r="H39" s="97"/>
      <c r="I39" s="97"/>
      <c r="J39" s="97"/>
      <c r="K39" s="97"/>
      <c r="L39" s="97"/>
    </row>
    <row r="40" spans="1:12" ht="15" customHeight="1">
      <c r="A40" s="97"/>
      <c r="B40" s="97"/>
      <c r="C40" s="102" t="s">
        <v>341</v>
      </c>
      <c r="D40" s="104" t="s">
        <v>342</v>
      </c>
      <c r="E40" s="97"/>
      <c r="F40" s="97"/>
      <c r="G40" s="97"/>
      <c r="H40" s="97"/>
      <c r="I40" s="97"/>
      <c r="J40" s="97"/>
      <c r="K40" s="97"/>
      <c r="L40" s="97"/>
    </row>
    <row r="41" spans="1:12" ht="15" customHeight="1">
      <c r="C41" s="97"/>
      <c r="D41" s="104" t="s">
        <v>343</v>
      </c>
      <c r="E41" s="97"/>
      <c r="F41" s="97"/>
      <c r="G41" s="97"/>
      <c r="H41" s="97"/>
      <c r="I41" s="97"/>
      <c r="J41" s="97"/>
      <c r="K41" s="97"/>
      <c r="L41" s="97"/>
    </row>
    <row r="42" spans="1:12" ht="18" customHeight="1">
      <c r="C42" s="97"/>
      <c r="D42" s="121" t="s">
        <v>425</v>
      </c>
      <c r="F42" s="133" t="s">
        <v>426</v>
      </c>
      <c r="G42" s="97"/>
      <c r="H42" s="97"/>
      <c r="I42" s="97"/>
      <c r="J42" s="97"/>
      <c r="K42" s="97"/>
      <c r="L42" s="97"/>
    </row>
    <row r="43" spans="1:12" ht="15" customHeight="1">
      <c r="C43" s="102" t="s">
        <v>341</v>
      </c>
      <c r="D43" s="104" t="s">
        <v>427</v>
      </c>
      <c r="G43" s="97"/>
      <c r="H43" s="97"/>
      <c r="I43" s="97"/>
      <c r="J43" s="97"/>
      <c r="K43" s="97"/>
      <c r="L43" s="97"/>
    </row>
    <row r="44" spans="1:12" ht="18" customHeight="1">
      <c r="C44" s="97"/>
      <c r="D44" s="121" t="s">
        <v>428</v>
      </c>
      <c r="F44" s="134" t="s">
        <v>429</v>
      </c>
      <c r="G44" s="97"/>
      <c r="H44" s="97"/>
      <c r="I44" s="97"/>
      <c r="J44" s="97"/>
      <c r="K44" s="97"/>
      <c r="L44" s="97"/>
    </row>
    <row r="45" spans="1:12" ht="15" customHeight="1">
      <c r="A45" s="97"/>
      <c r="B45" s="97"/>
      <c r="C45" s="102" t="s">
        <v>341</v>
      </c>
      <c r="D45" s="104" t="s">
        <v>430</v>
      </c>
      <c r="E45" s="97"/>
      <c r="F45" s="97"/>
      <c r="G45" s="97"/>
      <c r="H45" s="97"/>
      <c r="I45" s="97"/>
      <c r="J45" s="97"/>
      <c r="K45" s="97"/>
      <c r="L45" s="97"/>
    </row>
    <row r="46" spans="1:12" ht="15" customHeight="1">
      <c r="A46" s="97"/>
      <c r="B46" s="97"/>
      <c r="C46" s="102"/>
      <c r="D46" s="104" t="s">
        <v>431</v>
      </c>
      <c r="E46" s="97"/>
      <c r="F46" s="97"/>
      <c r="G46" s="97"/>
      <c r="H46" s="97"/>
      <c r="I46" s="97"/>
      <c r="J46" s="97"/>
      <c r="K46" s="97"/>
      <c r="L46" s="97"/>
    </row>
    <row r="47" spans="1:12" ht="8.1" customHeight="1">
      <c r="A47" s="97"/>
      <c r="B47" s="97"/>
      <c r="C47" s="102"/>
      <c r="D47" s="104"/>
      <c r="E47" s="97"/>
      <c r="F47" s="97"/>
      <c r="G47" s="97"/>
      <c r="H47" s="97"/>
      <c r="I47" s="97"/>
      <c r="J47" s="97"/>
      <c r="K47" s="97"/>
      <c r="L47" s="97"/>
    </row>
    <row r="48" spans="1:12">
      <c r="A48" s="103"/>
      <c r="B48" s="97" t="s">
        <v>344</v>
      </c>
      <c r="C48" s="97"/>
      <c r="D48" s="99" t="s">
        <v>432</v>
      </c>
      <c r="E48" s="97"/>
      <c r="F48" s="97"/>
      <c r="G48" s="97"/>
      <c r="H48" s="97"/>
      <c r="I48" s="97"/>
      <c r="J48" s="97"/>
      <c r="K48" s="97"/>
      <c r="L48" s="97"/>
    </row>
    <row r="49" spans="1:12" ht="18" customHeight="1">
      <c r="A49" s="97"/>
      <c r="B49" s="97"/>
      <c r="C49" s="97"/>
      <c r="D49" s="132" t="s">
        <v>433</v>
      </c>
      <c r="E49" s="97"/>
      <c r="F49" s="97"/>
      <c r="G49" s="97"/>
      <c r="H49" s="97"/>
      <c r="I49" s="97"/>
      <c r="J49" s="97"/>
      <c r="K49" s="97"/>
      <c r="L49" s="97"/>
    </row>
    <row r="50" spans="1:12" ht="15" customHeight="1">
      <c r="A50" s="97"/>
      <c r="B50" s="97"/>
      <c r="C50" s="102" t="s">
        <v>341</v>
      </c>
      <c r="D50" s="104" t="s">
        <v>347</v>
      </c>
      <c r="E50" s="97"/>
      <c r="F50" s="97"/>
      <c r="G50" s="97"/>
      <c r="H50" s="97"/>
      <c r="I50" s="97"/>
      <c r="J50" s="97"/>
      <c r="K50" s="97"/>
      <c r="L50" s="97"/>
    </row>
    <row r="51" spans="1:12" ht="15" customHeight="1">
      <c r="A51" s="97"/>
      <c r="B51" s="97"/>
      <c r="C51" s="102" t="s">
        <v>341</v>
      </c>
      <c r="D51" s="104" t="s">
        <v>391</v>
      </c>
      <c r="E51" s="97"/>
      <c r="F51" s="97"/>
      <c r="G51" s="97"/>
      <c r="H51" s="97"/>
      <c r="I51" s="97"/>
      <c r="J51" s="97"/>
      <c r="K51" s="97"/>
      <c r="L51" s="97"/>
    </row>
    <row r="52" spans="1:12">
      <c r="A52" s="97"/>
      <c r="B52" s="97"/>
      <c r="C52" s="102" t="s">
        <v>341</v>
      </c>
      <c r="D52" s="104" t="s">
        <v>349</v>
      </c>
      <c r="E52" s="97"/>
      <c r="F52" s="97"/>
      <c r="G52" s="97"/>
      <c r="H52" s="97"/>
      <c r="I52" s="97"/>
      <c r="J52" s="97"/>
      <c r="K52" s="97"/>
      <c r="L52" s="97"/>
    </row>
    <row r="53" spans="1:12">
      <c r="A53" s="97"/>
      <c r="B53" s="97"/>
      <c r="C53" s="102"/>
      <c r="D53" s="104" t="s">
        <v>350</v>
      </c>
      <c r="E53" s="97"/>
      <c r="F53" s="97"/>
      <c r="G53" s="97"/>
      <c r="H53" s="97"/>
      <c r="I53" s="97"/>
      <c r="J53" s="97"/>
      <c r="K53" s="97"/>
      <c r="L53" s="97"/>
    </row>
    <row r="54" spans="1:12">
      <c r="A54" s="97"/>
      <c r="B54" s="97"/>
      <c r="C54" s="102" t="s">
        <v>341</v>
      </c>
      <c r="D54" s="104" t="s">
        <v>351</v>
      </c>
      <c r="E54" s="97"/>
      <c r="F54" s="97"/>
      <c r="G54" s="97"/>
      <c r="H54" s="97"/>
      <c r="I54" s="97"/>
      <c r="J54" s="97"/>
      <c r="K54" s="97"/>
      <c r="L54" s="97"/>
    </row>
    <row r="55" spans="1:12" ht="15" customHeight="1">
      <c r="A55" s="97"/>
      <c r="B55" s="97"/>
      <c r="C55" s="102"/>
      <c r="D55" s="104" t="s">
        <v>352</v>
      </c>
      <c r="E55" s="97"/>
      <c r="F55" s="97"/>
      <c r="G55" s="97"/>
      <c r="H55" s="97"/>
      <c r="I55" s="97"/>
      <c r="J55" s="97"/>
      <c r="K55" s="97"/>
      <c r="L55" s="97"/>
    </row>
    <row r="56" spans="1:12" ht="24.95" customHeight="1">
      <c r="A56" s="97"/>
      <c r="B56" s="116"/>
      <c r="C56" s="97"/>
      <c r="D56" s="97"/>
      <c r="E56" s="97"/>
      <c r="F56" s="97"/>
      <c r="G56" s="97"/>
      <c r="H56" s="97"/>
      <c r="I56" s="97"/>
      <c r="J56" s="97"/>
      <c r="K56" s="361" t="str">
        <f ca="1">TEXT(NOW(),"TT. MMM. JJJJ")</f>
        <v>16. Feb. 2026</v>
      </c>
      <c r="L56" s="361"/>
    </row>
    <row r="57" spans="1:12" ht="12" customHeight="1">
      <c r="B57" s="97"/>
      <c r="C57" s="97"/>
      <c r="D57" s="97"/>
      <c r="E57" s="97"/>
      <c r="F57" s="97"/>
      <c r="G57" s="97"/>
      <c r="I57" s="97"/>
      <c r="J57" s="122" t="s">
        <v>363</v>
      </c>
      <c r="K57" s="361"/>
      <c r="L57" s="361"/>
    </row>
    <row r="61" spans="1:12">
      <c r="H61" s="97"/>
      <c r="I61" s="97"/>
      <c r="J61" s="97"/>
      <c r="K61" s="97"/>
    </row>
  </sheetData>
  <mergeCells count="3">
    <mergeCell ref="K56:L57"/>
    <mergeCell ref="D6:D7"/>
    <mergeCell ref="A2:L4"/>
  </mergeCells>
  <hyperlinks>
    <hyperlink ref="B33" r:id="rId1" xr:uid="{79EAABAF-4CE7-4522-B90A-F5ECC927F153}"/>
    <hyperlink ref="B31" r:id="rId2" xr:uid="{E7C88D63-29D8-4C9F-BD62-08F930909B03}"/>
    <hyperlink ref="B35" r:id="rId3" xr:uid="{904C2DAB-40A6-44A6-A73C-697C8D6DF447}"/>
    <hyperlink ref="B26" r:id="rId4" xr:uid="{FFB40BF3-530B-475E-88AA-48A878849E5A}"/>
    <hyperlink ref="B25" r:id="rId5" xr:uid="{C42A0A99-482F-4401-A26C-ADBD859EBFC0}"/>
    <hyperlink ref="B27" r:id="rId6" xr:uid="{C08DCDB4-8CC6-4436-9DE6-AF49DF199566}"/>
    <hyperlink ref="B24" r:id="rId7" xr:uid="{20C9BB76-5556-4386-A8E3-4EE384B69215}"/>
    <hyperlink ref="I7" r:id="rId8" xr:uid="{7328EFB4-E96F-4655-BCD9-BB5212BCBA6B}"/>
    <hyperlink ref="I6" r:id="rId9" xr:uid="{20DF2250-8304-4E0A-9F8D-3879519FEB91}"/>
    <hyperlink ref="B20" r:id="rId10" xr:uid="{388BA2AD-3520-45D1-8FF2-2D025F92F12F}"/>
    <hyperlink ref="B22" r:id="rId11" xr:uid="{2DE400E0-C388-406E-9CF2-99AAA5BD83D3}"/>
    <hyperlink ref="B23" r:id="rId12" xr:uid="{4CEB8517-3766-4ACB-8101-61D04F557A9C}"/>
    <hyperlink ref="B21" r:id="rId13" xr:uid="{EE8F70EA-6722-4D02-8981-59EFC584EABD}"/>
    <hyperlink ref="D49" r:id="rId14" display="JFA - Renewable Energy Div. (Sri Lanka)" xr:uid="{61776884-DF0C-46FB-B5E9-E33531EBDC2A}"/>
    <hyperlink ref="F44" r:id="rId15" display="JFA - Renewable Energy Div. (Sri Lanka)" xr:uid="{EEC745E2-1310-4724-BE9D-685D03F936E1}"/>
    <hyperlink ref="F42" r:id="rId16" xr:uid="{03E057A2-3289-45C0-B6E8-BC315A5466E9}"/>
  </hyperlinks>
  <printOptions horizontalCentered="1" verticalCentered="1"/>
  <pageMargins left="0" right="0" top="0" bottom="0" header="0" footer="0"/>
  <pageSetup paperSize="9" orientation="portrait" r:id="rId17"/>
  <drawing r:id="rId1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B65-E983-47BE-8F6F-3B4AE5F37D8A}">
  <dimension ref="A1:S64"/>
  <sheetViews>
    <sheetView zoomScale="130" zoomScaleNormal="130" workbookViewId="0">
      <selection activeCell="B11" sqref="B11"/>
    </sheetView>
  </sheetViews>
  <sheetFormatPr defaultRowHeight="15"/>
  <cols>
    <col min="1" max="1" width="5.7109375" customWidth="1"/>
    <col min="12" max="12" width="5.7109375" customWidth="1"/>
  </cols>
  <sheetData>
    <row r="1" spans="1:19" ht="8.1" customHeight="1">
      <c r="A1" s="95"/>
      <c r="B1" s="95"/>
      <c r="C1" s="95"/>
      <c r="D1" s="95"/>
      <c r="E1" s="95"/>
      <c r="F1" s="95"/>
      <c r="G1" s="95"/>
      <c r="H1" s="95"/>
      <c r="I1" s="95"/>
      <c r="J1" s="95"/>
      <c r="K1" s="95"/>
      <c r="L1" s="95"/>
    </row>
    <row r="2" spans="1:19" ht="15" customHeight="1">
      <c r="A2" s="363" t="s">
        <v>394</v>
      </c>
      <c r="B2" s="364"/>
      <c r="C2" s="364"/>
      <c r="D2" s="364"/>
      <c r="E2" s="364"/>
      <c r="F2" s="364"/>
      <c r="G2" s="364"/>
      <c r="H2" s="364"/>
      <c r="I2" s="364"/>
      <c r="J2" s="364"/>
      <c r="K2" s="364"/>
      <c r="L2" s="364"/>
    </row>
    <row r="3" spans="1:19">
      <c r="A3" s="364"/>
      <c r="B3" s="364"/>
      <c r="C3" s="364"/>
      <c r="D3" s="364"/>
      <c r="E3" s="364"/>
      <c r="F3" s="364"/>
      <c r="G3" s="364"/>
      <c r="H3" s="364"/>
      <c r="I3" s="364"/>
      <c r="J3" s="364"/>
      <c r="K3" s="364"/>
      <c r="L3" s="364"/>
    </row>
    <row r="4" spans="1:19">
      <c r="A4" s="364"/>
      <c r="B4" s="364"/>
      <c r="C4" s="364"/>
      <c r="D4" s="364"/>
      <c r="E4" s="364"/>
      <c r="F4" s="364"/>
      <c r="G4" s="364"/>
      <c r="H4" s="364"/>
      <c r="I4" s="364"/>
      <c r="J4" s="364"/>
      <c r="K4" s="364"/>
      <c r="L4" s="364"/>
    </row>
    <row r="5" spans="1:19" ht="8.1" customHeight="1">
      <c r="A5" s="138"/>
      <c r="B5" s="138"/>
      <c r="C5" s="138"/>
      <c r="D5" s="370" t="s">
        <v>434</v>
      </c>
      <c r="E5" s="371"/>
      <c r="F5" s="371"/>
      <c r="G5" s="371"/>
      <c r="H5" s="371"/>
      <c r="I5" s="371"/>
      <c r="J5" s="371"/>
      <c r="K5" s="371"/>
      <c r="L5" s="371"/>
    </row>
    <row r="6" spans="1:19" ht="8.1" customHeight="1">
      <c r="A6" s="138"/>
      <c r="B6" s="138"/>
      <c r="C6" s="138"/>
      <c r="D6" s="371"/>
      <c r="E6" s="371"/>
      <c r="F6" s="371"/>
      <c r="G6" s="371"/>
      <c r="H6" s="371"/>
      <c r="I6" s="371"/>
      <c r="J6" s="371"/>
      <c r="K6" s="371"/>
      <c r="L6" s="371"/>
    </row>
    <row r="7" spans="1:19" ht="18" customHeight="1">
      <c r="A7" s="136"/>
      <c r="B7" s="136"/>
      <c r="C7" s="136"/>
      <c r="D7" s="362"/>
      <c r="E7" s="369" t="s">
        <v>435</v>
      </c>
      <c r="F7" s="369"/>
      <c r="G7" s="369"/>
      <c r="H7" s="136"/>
      <c r="I7" s="137" t="s">
        <v>3</v>
      </c>
      <c r="J7" s="136"/>
      <c r="K7" s="136"/>
      <c r="L7" s="136"/>
    </row>
    <row r="8" spans="1:19" ht="18" customHeight="1">
      <c r="A8" s="136"/>
      <c r="B8" s="136"/>
      <c r="C8" s="136"/>
      <c r="D8" s="362"/>
      <c r="E8" s="369"/>
      <c r="F8" s="369"/>
      <c r="G8" s="369"/>
      <c r="H8" s="136"/>
      <c r="I8" s="137" t="s">
        <v>190</v>
      </c>
      <c r="J8" s="136"/>
      <c r="K8" s="136"/>
      <c r="L8" s="136"/>
    </row>
    <row r="9" spans="1:19" ht="12" customHeight="1">
      <c r="A9" s="136"/>
      <c r="B9" s="136"/>
      <c r="C9" s="136"/>
      <c r="D9" s="136"/>
      <c r="E9" s="136"/>
      <c r="F9" s="136"/>
      <c r="G9" s="136"/>
      <c r="H9" s="136"/>
      <c r="I9" s="136"/>
      <c r="J9" s="136"/>
      <c r="K9" s="136"/>
      <c r="L9" s="136"/>
    </row>
    <row r="10" spans="1:19" ht="8.1" customHeight="1">
      <c r="A10" s="97"/>
      <c r="B10" s="97"/>
      <c r="C10" s="97"/>
      <c r="D10" s="97"/>
      <c r="E10" s="97"/>
      <c r="F10" s="97"/>
      <c r="G10" s="97"/>
      <c r="H10" s="97"/>
      <c r="I10" s="97"/>
      <c r="J10" s="97"/>
      <c r="K10" s="97"/>
      <c r="L10" s="97"/>
    </row>
    <row r="11" spans="1:19" ht="18" customHeight="1">
      <c r="A11" s="152"/>
      <c r="B11" s="146" t="s">
        <v>436</v>
      </c>
      <c r="C11" s="365" t="s">
        <v>437</v>
      </c>
      <c r="D11" s="365"/>
      <c r="E11" s="365"/>
      <c r="F11" s="365"/>
      <c r="G11" s="365"/>
      <c r="H11" s="365"/>
      <c r="I11" s="365"/>
      <c r="J11" s="365"/>
      <c r="K11" s="365"/>
      <c r="L11" s="365"/>
      <c r="N11" s="97"/>
      <c r="O11" s="97"/>
      <c r="P11" s="97"/>
      <c r="R11" s="97"/>
      <c r="S11" s="135"/>
    </row>
    <row r="12" spans="1:19" ht="15" customHeight="1">
      <c r="A12" s="153"/>
      <c r="B12" s="149"/>
      <c r="C12" s="365" t="s">
        <v>438</v>
      </c>
      <c r="D12" s="366"/>
      <c r="E12" s="366"/>
      <c r="F12" s="366"/>
      <c r="G12" s="366"/>
      <c r="H12" s="366"/>
      <c r="I12" s="366"/>
      <c r="J12" s="366"/>
      <c r="K12" s="366"/>
      <c r="L12" s="366"/>
      <c r="O12" s="97"/>
      <c r="P12" s="135"/>
    </row>
    <row r="13" spans="1:19" ht="5.0999999999999996" customHeight="1">
      <c r="A13" s="153"/>
      <c r="B13" s="97"/>
      <c r="C13" s="145"/>
      <c r="D13" s="190"/>
      <c r="E13" s="145"/>
      <c r="F13" s="145"/>
      <c r="G13" s="145"/>
      <c r="H13" s="145"/>
      <c r="I13" s="145"/>
      <c r="J13" s="141"/>
      <c r="K13" s="145"/>
      <c r="L13" s="145"/>
      <c r="O13" s="97"/>
      <c r="P13" s="135"/>
    </row>
    <row r="14" spans="1:19">
      <c r="A14" s="153"/>
      <c r="B14" s="146" t="s">
        <v>439</v>
      </c>
      <c r="C14" s="367" t="s">
        <v>440</v>
      </c>
      <c r="D14" s="368"/>
      <c r="E14" s="368"/>
      <c r="F14" s="368"/>
      <c r="G14" s="368"/>
      <c r="H14" s="368"/>
      <c r="I14" s="368"/>
      <c r="J14" s="368"/>
      <c r="K14" s="368"/>
      <c r="L14" s="368"/>
    </row>
    <row r="15" spans="1:19" ht="5.0999999999999996" customHeight="1">
      <c r="A15" s="153"/>
      <c r="B15" s="97"/>
      <c r="C15" s="145"/>
      <c r="D15" s="190"/>
      <c r="E15" s="145"/>
      <c r="F15" s="145"/>
      <c r="G15" s="145"/>
      <c r="H15" s="145"/>
      <c r="I15" s="145"/>
      <c r="J15" s="145"/>
      <c r="K15" s="145"/>
      <c r="L15" s="145"/>
    </row>
    <row r="16" spans="1:19" ht="15" customHeight="1">
      <c r="A16" s="153"/>
      <c r="B16" s="146" t="s">
        <v>441</v>
      </c>
      <c r="C16" s="367" t="s">
        <v>442</v>
      </c>
      <c r="D16" s="368"/>
      <c r="E16" s="368"/>
      <c r="F16" s="368"/>
      <c r="G16" s="368"/>
      <c r="H16" s="368"/>
      <c r="I16" s="368"/>
      <c r="J16" s="368"/>
      <c r="K16" s="368"/>
      <c r="L16" s="368"/>
    </row>
    <row r="17" spans="1:12" ht="8.1" customHeight="1">
      <c r="A17" s="97"/>
      <c r="B17" s="97"/>
      <c r="C17" s="190"/>
      <c r="D17" s="189"/>
      <c r="E17" s="189"/>
      <c r="F17" s="189"/>
      <c r="G17" s="189"/>
      <c r="H17" s="189"/>
      <c r="I17" s="189"/>
      <c r="J17" s="189"/>
      <c r="K17" s="189"/>
      <c r="L17" s="189"/>
    </row>
    <row r="18" spans="1:12" ht="18" customHeight="1">
      <c r="A18" s="153"/>
      <c r="B18" s="376" t="s">
        <v>443</v>
      </c>
      <c r="C18" s="376"/>
      <c r="D18" s="376"/>
      <c r="E18" s="376"/>
      <c r="F18" s="376"/>
      <c r="G18" s="376"/>
      <c r="H18" s="376"/>
      <c r="I18" s="376"/>
      <c r="J18" s="376"/>
      <c r="K18" s="376"/>
      <c r="L18" s="376"/>
    </row>
    <row r="19" spans="1:12">
      <c r="A19" s="153"/>
      <c r="B19" s="376" t="s">
        <v>444</v>
      </c>
      <c r="C19" s="376"/>
      <c r="D19" s="376"/>
      <c r="E19" s="376"/>
      <c r="F19" s="376"/>
      <c r="G19" s="376"/>
      <c r="H19" s="376"/>
      <c r="I19" s="376"/>
      <c r="J19" s="376"/>
      <c r="K19" s="376"/>
      <c r="L19" s="376"/>
    </row>
    <row r="20" spans="1:12" ht="8.1" customHeight="1">
      <c r="A20" s="103"/>
      <c r="D20" s="97"/>
      <c r="E20" s="97"/>
      <c r="F20" s="97"/>
      <c r="G20" s="97"/>
      <c r="H20" s="97"/>
      <c r="I20" s="97"/>
      <c r="J20" s="97"/>
      <c r="K20" s="97"/>
      <c r="L20" s="97"/>
    </row>
    <row r="21" spans="1:12" ht="24.95" customHeight="1">
      <c r="A21" s="150" t="s">
        <v>445</v>
      </c>
      <c r="B21" s="147"/>
      <c r="C21" s="147"/>
      <c r="D21" s="147"/>
      <c r="E21" s="147"/>
      <c r="F21" s="147"/>
      <c r="G21" s="147"/>
      <c r="H21" s="147"/>
      <c r="I21" s="147"/>
      <c r="J21" s="147"/>
      <c r="K21" s="147"/>
      <c r="L21" s="147"/>
    </row>
    <row r="22" spans="1:12" ht="18" customHeight="1">
      <c r="A22" s="97" t="s">
        <v>261</v>
      </c>
      <c r="B22" s="125" t="s">
        <v>446</v>
      </c>
      <c r="C22" s="97"/>
      <c r="D22" s="97"/>
      <c r="E22" s="97"/>
      <c r="F22" s="97"/>
      <c r="G22" s="140" t="s">
        <v>447</v>
      </c>
      <c r="H22" s="97"/>
      <c r="I22" s="97"/>
      <c r="J22" s="97"/>
      <c r="L22" s="97"/>
    </row>
    <row r="23" spans="1:12" ht="18" customHeight="1">
      <c r="A23" s="97" t="s">
        <v>261</v>
      </c>
      <c r="B23" s="125" t="s">
        <v>381</v>
      </c>
      <c r="C23" s="97"/>
      <c r="D23" s="97"/>
      <c r="E23" s="97"/>
      <c r="F23" s="97"/>
      <c r="G23" s="140" t="s">
        <v>413</v>
      </c>
      <c r="H23" s="97"/>
      <c r="I23" s="97"/>
      <c r="J23" s="97"/>
      <c r="L23" s="97"/>
    </row>
    <row r="24" spans="1:12" ht="18" customHeight="1">
      <c r="A24" s="97" t="s">
        <v>261</v>
      </c>
      <c r="B24" s="125" t="s">
        <v>354</v>
      </c>
      <c r="C24" s="97"/>
      <c r="D24" s="97"/>
      <c r="E24" s="97"/>
      <c r="F24" s="97"/>
      <c r="G24" s="140" t="s">
        <v>414</v>
      </c>
      <c r="H24" s="97"/>
      <c r="I24" s="97"/>
      <c r="J24" s="97"/>
      <c r="L24" s="97"/>
    </row>
    <row r="25" spans="1:12" ht="18" customHeight="1">
      <c r="A25" s="97" t="s">
        <v>261</v>
      </c>
      <c r="B25" s="125" t="s">
        <v>383</v>
      </c>
      <c r="C25" s="97"/>
      <c r="D25" s="97"/>
      <c r="E25" s="97"/>
      <c r="F25" s="97"/>
      <c r="G25" s="140" t="s">
        <v>415</v>
      </c>
      <c r="H25" s="97"/>
      <c r="I25" s="97"/>
      <c r="J25" s="97"/>
      <c r="K25" s="97"/>
      <c r="L25" s="97"/>
    </row>
    <row r="26" spans="1:12" ht="18" customHeight="1">
      <c r="A26" s="97" t="s">
        <v>261</v>
      </c>
      <c r="B26" s="125" t="s">
        <v>356</v>
      </c>
      <c r="C26" s="97"/>
      <c r="D26" s="97"/>
      <c r="E26" s="97"/>
      <c r="F26" s="97"/>
      <c r="G26" s="140" t="s">
        <v>416</v>
      </c>
      <c r="H26" s="97"/>
      <c r="I26" s="97"/>
      <c r="J26" s="97"/>
      <c r="K26" s="97"/>
      <c r="L26" s="97"/>
    </row>
    <row r="27" spans="1:12" ht="18" customHeight="1">
      <c r="A27" s="97" t="s">
        <v>261</v>
      </c>
      <c r="B27" s="125" t="s">
        <v>284</v>
      </c>
      <c r="C27" s="97"/>
      <c r="D27" s="97"/>
      <c r="E27" s="97"/>
      <c r="F27" s="97"/>
      <c r="G27" s="140" t="s">
        <v>417</v>
      </c>
      <c r="H27" s="97"/>
      <c r="I27" s="97"/>
      <c r="J27" s="97"/>
      <c r="K27" s="97"/>
      <c r="L27" s="97"/>
    </row>
    <row r="28" spans="1:12" ht="18" customHeight="1">
      <c r="A28" s="97" t="s">
        <v>261</v>
      </c>
      <c r="B28" s="125" t="s">
        <v>359</v>
      </c>
      <c r="C28" s="97"/>
      <c r="D28" s="97"/>
      <c r="E28" s="97"/>
      <c r="F28" s="97"/>
      <c r="G28" s="140" t="s">
        <v>448</v>
      </c>
      <c r="H28" s="97"/>
      <c r="I28" s="97"/>
      <c r="J28" s="97"/>
      <c r="K28" s="97"/>
      <c r="L28" s="97"/>
    </row>
    <row r="29" spans="1:12" ht="18" customHeight="1">
      <c r="A29" s="97" t="s">
        <v>261</v>
      </c>
      <c r="B29" s="125" t="s">
        <v>76</v>
      </c>
      <c r="C29" s="97"/>
      <c r="D29" s="97"/>
      <c r="E29" s="97"/>
      <c r="F29" s="97"/>
      <c r="G29" s="140" t="s">
        <v>419</v>
      </c>
      <c r="K29" s="97"/>
      <c r="L29" s="97"/>
    </row>
    <row r="30" spans="1:12" ht="18" customHeight="1">
      <c r="A30" s="97" t="s">
        <v>261</v>
      </c>
      <c r="B30" s="125" t="s">
        <v>387</v>
      </c>
      <c r="C30" s="97"/>
      <c r="D30" s="97"/>
      <c r="E30" s="97"/>
      <c r="F30" s="97"/>
      <c r="G30" s="140" t="s">
        <v>420</v>
      </c>
      <c r="H30" s="97"/>
      <c r="I30" s="97"/>
      <c r="J30" s="97"/>
      <c r="K30" s="97"/>
      <c r="L30" s="97"/>
    </row>
    <row r="31" spans="1:12" ht="8.1" customHeight="1">
      <c r="A31" s="97"/>
      <c r="B31" s="125"/>
      <c r="C31" s="97"/>
      <c r="D31" s="97"/>
      <c r="E31" s="97"/>
      <c r="F31" s="97"/>
      <c r="G31" s="104"/>
      <c r="H31" s="97"/>
      <c r="I31" s="97"/>
      <c r="J31" s="97"/>
      <c r="K31" s="97"/>
      <c r="L31" s="97"/>
    </row>
    <row r="32" spans="1:12" ht="24.95" customHeight="1">
      <c r="A32" s="150" t="s">
        <v>337</v>
      </c>
      <c r="B32" s="147"/>
      <c r="C32" s="147"/>
      <c r="D32" s="147"/>
      <c r="E32" s="147"/>
      <c r="F32" s="147"/>
      <c r="G32" s="147"/>
      <c r="H32" s="147"/>
      <c r="I32" s="147"/>
      <c r="J32" s="147"/>
      <c r="K32" s="147"/>
      <c r="L32" s="147"/>
    </row>
    <row r="33" spans="1:12" ht="15" customHeight="1">
      <c r="A33" s="154"/>
      <c r="B33" s="374" t="s">
        <v>449</v>
      </c>
      <c r="C33" s="375"/>
      <c r="D33" s="375"/>
      <c r="E33" s="375"/>
      <c r="F33" s="375"/>
      <c r="G33" s="342"/>
      <c r="H33" s="342"/>
      <c r="I33" s="97"/>
      <c r="J33" s="97"/>
      <c r="K33" s="97"/>
      <c r="L33" s="97"/>
    </row>
    <row r="34" spans="1:12" ht="5.0999999999999996" customHeight="1">
      <c r="A34" s="103"/>
      <c r="B34" s="99"/>
      <c r="C34" s="97"/>
      <c r="E34" s="97"/>
      <c r="F34" s="97"/>
      <c r="G34" s="97"/>
      <c r="H34" s="97"/>
      <c r="I34" s="97"/>
      <c r="J34" s="97"/>
      <c r="K34" s="97"/>
      <c r="L34" s="97"/>
    </row>
    <row r="35" spans="1:12" ht="15" customHeight="1">
      <c r="A35" s="97"/>
      <c r="B35" s="97"/>
      <c r="C35" s="134" t="s">
        <v>426</v>
      </c>
      <c r="D35" s="97"/>
      <c r="E35" s="99" t="s">
        <v>450</v>
      </c>
      <c r="F35" s="97"/>
      <c r="H35" s="97"/>
      <c r="I35" s="97"/>
      <c r="J35" s="97"/>
      <c r="K35" s="97"/>
      <c r="L35" s="97"/>
    </row>
    <row r="36" spans="1:12" ht="15" customHeight="1">
      <c r="C36" s="123" t="s">
        <v>425</v>
      </c>
      <c r="E36" s="97" t="s">
        <v>451</v>
      </c>
      <c r="F36" s="97"/>
      <c r="G36" s="97"/>
      <c r="H36" s="97"/>
      <c r="I36" s="97"/>
      <c r="J36" s="97"/>
      <c r="K36" s="97"/>
      <c r="L36" s="97"/>
    </row>
    <row r="37" spans="1:12" ht="5.0999999999999996" customHeight="1">
      <c r="C37" s="123"/>
      <c r="E37" s="104"/>
      <c r="F37" s="97"/>
      <c r="G37" s="97"/>
      <c r="H37" s="97"/>
      <c r="I37" s="97"/>
      <c r="J37" s="97"/>
      <c r="K37" s="97"/>
      <c r="L37" s="97"/>
    </row>
    <row r="38" spans="1:12" ht="15" customHeight="1">
      <c r="B38" s="97"/>
      <c r="C38" s="134" t="s">
        <v>429</v>
      </c>
      <c r="D38" s="97"/>
      <c r="E38" s="99" t="s">
        <v>452</v>
      </c>
      <c r="H38" s="97"/>
      <c r="I38" s="97"/>
      <c r="J38" s="97"/>
      <c r="K38" s="97"/>
      <c r="L38" s="97"/>
    </row>
    <row r="39" spans="1:12" ht="15" customHeight="1">
      <c r="B39" s="102"/>
      <c r="C39" s="123" t="s">
        <v>428</v>
      </c>
      <c r="D39" s="97"/>
      <c r="E39" s="97" t="s">
        <v>453</v>
      </c>
      <c r="G39" s="97"/>
      <c r="H39" s="97"/>
      <c r="I39" s="97"/>
      <c r="J39" s="97"/>
      <c r="K39" s="97"/>
      <c r="L39" s="97"/>
    </row>
    <row r="40" spans="1:12" ht="15" customHeight="1">
      <c r="B40" s="102"/>
      <c r="D40" s="97"/>
      <c r="E40" s="97" t="s">
        <v>454</v>
      </c>
      <c r="G40" s="97"/>
      <c r="H40" s="97"/>
      <c r="I40" s="97"/>
      <c r="J40" s="97"/>
      <c r="K40" s="97"/>
      <c r="L40" s="97"/>
    </row>
    <row r="41" spans="1:12" ht="3.95" customHeight="1">
      <c r="A41" s="97"/>
      <c r="B41" s="97"/>
      <c r="C41" s="102"/>
      <c r="D41" s="104"/>
      <c r="E41" s="97"/>
      <c r="F41" s="97"/>
      <c r="G41" s="97"/>
      <c r="H41" s="97"/>
      <c r="I41" s="97"/>
      <c r="J41" s="97"/>
      <c r="K41" s="97"/>
      <c r="L41" s="97"/>
    </row>
    <row r="42" spans="1:12">
      <c r="A42" s="154"/>
      <c r="B42" s="374" t="s">
        <v>455</v>
      </c>
      <c r="C42" s="375"/>
      <c r="D42" s="375"/>
      <c r="E42" s="375"/>
      <c r="F42" s="375"/>
      <c r="G42" s="97"/>
      <c r="H42" s="97"/>
      <c r="I42" s="97"/>
      <c r="J42" s="97"/>
      <c r="K42" s="97"/>
      <c r="L42" s="97"/>
    </row>
    <row r="43" spans="1:12" ht="5.0999999999999996" customHeight="1">
      <c r="A43" s="103"/>
      <c r="B43" s="99"/>
      <c r="C43" s="97"/>
      <c r="F43" s="97"/>
      <c r="G43" s="97"/>
      <c r="H43" s="97"/>
      <c r="I43" s="97"/>
      <c r="J43" s="97"/>
      <c r="K43" s="97"/>
      <c r="L43" s="97"/>
    </row>
    <row r="44" spans="1:12" ht="15" customHeight="1">
      <c r="A44" s="97"/>
      <c r="B44" s="97"/>
      <c r="C44" s="134" t="s">
        <v>429</v>
      </c>
      <c r="D44" s="97"/>
      <c r="E44" s="99" t="s">
        <v>456</v>
      </c>
      <c r="F44" s="97"/>
      <c r="G44" s="97"/>
      <c r="H44" s="97"/>
      <c r="I44" s="97"/>
      <c r="J44" s="97"/>
      <c r="K44" s="97"/>
      <c r="L44" s="97"/>
    </row>
    <row r="45" spans="1:12" ht="15" customHeight="1">
      <c r="A45" s="97"/>
      <c r="B45" s="102"/>
      <c r="C45" s="123" t="s">
        <v>457</v>
      </c>
      <c r="D45" s="97"/>
      <c r="E45" s="97" t="s">
        <v>458</v>
      </c>
      <c r="F45" s="97"/>
      <c r="G45" s="97"/>
      <c r="H45" s="97"/>
      <c r="I45" s="97"/>
      <c r="J45" s="97"/>
      <c r="K45" s="97"/>
      <c r="L45" s="97"/>
    </row>
    <row r="46" spans="1:12" ht="15" customHeight="1">
      <c r="A46" s="97"/>
      <c r="B46" s="102"/>
      <c r="C46" s="372" t="s">
        <v>459</v>
      </c>
      <c r="D46" s="372"/>
      <c r="E46" s="97" t="s">
        <v>460</v>
      </c>
      <c r="F46" s="97"/>
      <c r="G46" s="97"/>
      <c r="H46" s="97"/>
      <c r="I46" s="97"/>
      <c r="J46" s="97"/>
      <c r="K46" s="97"/>
      <c r="L46" s="97"/>
    </row>
    <row r="47" spans="1:12">
      <c r="A47" s="97"/>
      <c r="B47" s="102"/>
      <c r="C47" s="372"/>
      <c r="D47" s="372"/>
      <c r="E47" s="97" t="s">
        <v>461</v>
      </c>
      <c r="F47" s="97"/>
      <c r="G47" s="97"/>
      <c r="H47" s="97"/>
      <c r="I47" s="97"/>
      <c r="J47" s="97"/>
      <c r="K47" s="97"/>
      <c r="L47" s="97"/>
    </row>
    <row r="48" spans="1:12">
      <c r="A48" s="97"/>
      <c r="B48" s="102"/>
      <c r="C48" s="372"/>
      <c r="D48" s="372"/>
      <c r="E48" s="97" t="s">
        <v>462</v>
      </c>
      <c r="F48" s="97"/>
      <c r="G48" s="97"/>
      <c r="H48" s="97"/>
      <c r="I48" s="97"/>
      <c r="J48" s="97"/>
      <c r="K48" s="97"/>
      <c r="L48" s="97"/>
    </row>
    <row r="49" spans="1:12">
      <c r="A49" s="97"/>
      <c r="B49" s="102"/>
      <c r="C49" s="373"/>
      <c r="D49" s="373"/>
      <c r="E49" s="97" t="s">
        <v>463</v>
      </c>
      <c r="F49" s="97"/>
      <c r="G49" s="97"/>
      <c r="H49" s="97"/>
      <c r="I49" s="97"/>
      <c r="J49" s="97"/>
      <c r="K49" s="97"/>
      <c r="L49" s="97"/>
    </row>
    <row r="50" spans="1:12" ht="15" customHeight="1">
      <c r="A50" s="97"/>
      <c r="B50" s="102"/>
      <c r="D50" s="97"/>
      <c r="E50" s="97" t="s">
        <v>464</v>
      </c>
      <c r="F50" s="97"/>
      <c r="G50" s="97"/>
      <c r="H50" s="97"/>
      <c r="I50" s="97"/>
      <c r="J50" s="97"/>
      <c r="K50" s="97"/>
      <c r="L50" s="97"/>
    </row>
    <row r="51" spans="1:12" ht="3.95" customHeight="1">
      <c r="A51" s="97"/>
      <c r="B51" s="102"/>
      <c r="D51" s="97"/>
      <c r="E51" s="97"/>
      <c r="F51" s="97"/>
      <c r="G51" s="97"/>
      <c r="H51" s="97"/>
      <c r="I51" s="97"/>
      <c r="J51" s="97"/>
    </row>
    <row r="52" spans="1:12" ht="24.95" customHeight="1">
      <c r="A52" s="150" t="s">
        <v>388</v>
      </c>
      <c r="B52" s="148"/>
      <c r="C52" s="148"/>
      <c r="D52" s="148"/>
      <c r="E52" s="148"/>
      <c r="F52" s="151" t="s">
        <v>389</v>
      </c>
      <c r="G52" s="148"/>
      <c r="H52" s="148"/>
      <c r="I52" s="148"/>
      <c r="J52" s="148"/>
      <c r="K52" s="148"/>
      <c r="L52" s="148"/>
    </row>
    <row r="53" spans="1:12" ht="15" customHeight="1">
      <c r="A53" s="97"/>
      <c r="B53" s="126" t="s">
        <v>187</v>
      </c>
      <c r="E53" s="97"/>
      <c r="F53" s="97"/>
      <c r="G53" s="121" t="s">
        <v>329</v>
      </c>
      <c r="I53" s="97"/>
      <c r="J53" s="97"/>
      <c r="K53" s="97"/>
      <c r="L53" s="97"/>
    </row>
    <row r="54" spans="1:12" ht="15" customHeight="1">
      <c r="A54" s="97"/>
      <c r="B54" s="127"/>
      <c r="C54" s="97"/>
      <c r="E54" s="97"/>
      <c r="F54" s="97"/>
      <c r="G54" s="120" t="s">
        <v>421</v>
      </c>
      <c r="I54" s="97"/>
      <c r="J54" s="97"/>
      <c r="K54" s="97"/>
      <c r="L54" s="97"/>
    </row>
    <row r="55" spans="1:12" ht="15" customHeight="1">
      <c r="A55" s="97"/>
      <c r="B55" s="126" t="s">
        <v>331</v>
      </c>
      <c r="C55" s="97"/>
      <c r="D55" s="97"/>
      <c r="E55" s="97"/>
      <c r="F55" s="97"/>
      <c r="G55" s="121" t="s">
        <v>465</v>
      </c>
      <c r="I55" s="97"/>
      <c r="J55" s="97"/>
      <c r="K55" s="97"/>
      <c r="L55" s="97"/>
    </row>
    <row r="56" spans="1:12" ht="15" customHeight="1">
      <c r="A56" s="97"/>
      <c r="B56" s="127"/>
      <c r="C56" s="97"/>
      <c r="D56" s="97"/>
      <c r="E56" s="97"/>
      <c r="F56" s="97"/>
      <c r="G56" s="120" t="s">
        <v>422</v>
      </c>
      <c r="I56" s="97"/>
      <c r="J56" s="97"/>
      <c r="K56" s="97"/>
      <c r="L56" s="97"/>
    </row>
    <row r="57" spans="1:12" ht="15" customHeight="1">
      <c r="A57" s="97"/>
      <c r="B57" s="126" t="s">
        <v>334</v>
      </c>
      <c r="C57" s="97"/>
      <c r="D57" s="97"/>
      <c r="E57" s="97"/>
      <c r="F57" s="97"/>
      <c r="G57" s="121" t="s">
        <v>466</v>
      </c>
      <c r="I57" s="97"/>
      <c r="J57" s="97"/>
      <c r="K57" s="97"/>
      <c r="L57" s="97"/>
    </row>
    <row r="58" spans="1:12" ht="15" customHeight="1">
      <c r="A58" s="97"/>
      <c r="B58" s="128"/>
      <c r="C58" s="97"/>
      <c r="D58" s="97"/>
      <c r="E58" s="97"/>
      <c r="F58" s="97"/>
      <c r="G58" s="120" t="s">
        <v>423</v>
      </c>
      <c r="I58" s="97"/>
      <c r="J58" s="97"/>
      <c r="K58" s="97"/>
      <c r="L58" s="97"/>
    </row>
    <row r="59" spans="1:12" ht="45" customHeight="1">
      <c r="A59" s="97"/>
      <c r="B59" s="116"/>
      <c r="C59" s="97"/>
      <c r="D59" s="97"/>
      <c r="E59" s="97"/>
      <c r="F59" s="97"/>
      <c r="G59" s="97"/>
      <c r="H59" s="97"/>
      <c r="I59" s="97"/>
      <c r="J59" s="122" t="s">
        <v>363</v>
      </c>
      <c r="K59" s="198" t="str">
        <f ca="1">TEXT(NOW(),"TT. MMM. JJJJ")</f>
        <v>16. Feb. 2026</v>
      </c>
      <c r="L59" s="198"/>
    </row>
    <row r="60" spans="1:12" ht="0.95" customHeight="1">
      <c r="B60" s="97"/>
      <c r="C60" s="97"/>
      <c r="D60" s="97"/>
      <c r="E60" s="97"/>
      <c r="F60" s="97"/>
      <c r="G60" s="97"/>
      <c r="I60" s="97"/>
    </row>
    <row r="64" spans="1:12">
      <c r="H64" s="97"/>
      <c r="I64" s="97"/>
      <c r="J64" s="97"/>
      <c r="K64" s="97"/>
    </row>
  </sheetData>
  <mergeCells count="13">
    <mergeCell ref="C46:D49"/>
    <mergeCell ref="B42:F42"/>
    <mergeCell ref="B33:H33"/>
    <mergeCell ref="C16:L16"/>
    <mergeCell ref="B18:L18"/>
    <mergeCell ref="B19:L19"/>
    <mergeCell ref="A2:L4"/>
    <mergeCell ref="D7:D8"/>
    <mergeCell ref="C11:L11"/>
    <mergeCell ref="C12:L12"/>
    <mergeCell ref="C14:L14"/>
    <mergeCell ref="E7:G8"/>
    <mergeCell ref="D5:L6"/>
  </mergeCells>
  <hyperlinks>
    <hyperlink ref="B55" r:id="rId1" xr:uid="{001667F0-2967-400D-84E0-2988C71B005F}"/>
    <hyperlink ref="B53" r:id="rId2" xr:uid="{51DAEF79-E918-4EE3-85C3-08EA1B533043}"/>
    <hyperlink ref="B57" r:id="rId3" xr:uid="{91254FA6-FA55-4134-B740-6B06BB88F75D}"/>
    <hyperlink ref="B29" r:id="rId4" xr:uid="{D4D8705D-403D-4817-98D0-5DB23C04766D}"/>
    <hyperlink ref="B28" r:id="rId5" xr:uid="{35C2C9BE-4776-4EBA-8EE4-5A3E93DE67C0}"/>
    <hyperlink ref="B30" r:id="rId6" xr:uid="{6DC393DF-18F9-46E0-9435-F9E92B4A0DE3}"/>
    <hyperlink ref="B27" r:id="rId7" xr:uid="{8075F10D-E89D-4E62-B4AE-A1EF0A3566AD}"/>
    <hyperlink ref="I8" r:id="rId8" xr:uid="{38D9B4E7-6926-4065-9C96-1C9518EE6BA4}"/>
    <hyperlink ref="I7" r:id="rId9" xr:uid="{C466F06B-E2E0-4257-ADD1-F791B48B6E52}"/>
    <hyperlink ref="B22" r:id="rId10" xr:uid="{29495550-273F-4FE4-A4AE-19487F74A6B6}"/>
    <hyperlink ref="B25" r:id="rId11" xr:uid="{8417BEFD-268A-430A-B798-B6DF50F05F93}"/>
    <hyperlink ref="B26" r:id="rId12" xr:uid="{6F826997-F290-4379-BA27-8571D6779F03}"/>
    <hyperlink ref="B24" r:id="rId13" xr:uid="{BF967AFF-7749-43AC-9DA0-6DB01F569973}"/>
    <hyperlink ref="C38" r:id="rId14" display="JFA - Renewable Energy Div. (Sri Lanka)" xr:uid="{CE19BD21-1C69-4724-ABB8-01D4D24F09CA}"/>
    <hyperlink ref="C35" r:id="rId15" xr:uid="{32F3ABA9-FA22-45A5-B969-F3359417CE3A}"/>
    <hyperlink ref="C44" r:id="rId16" display="JFA - Renewable Energy Div. (Sri Lanka)" xr:uid="{B81BCE2D-BDAB-4955-B2E2-567DC52E6C0D}"/>
    <hyperlink ref="B23" r:id="rId17" xr:uid="{3A04C990-F3F6-4846-9470-6858BFE56CB0}"/>
  </hyperlinks>
  <printOptions horizontalCentered="1" verticalCentered="1"/>
  <pageMargins left="0" right="0" top="0" bottom="0" header="0" footer="0"/>
  <pageSetup paperSize="9" orientation="portrait" r:id="rId18"/>
  <drawing r:id="rId1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D853B-7B83-421C-AB91-5A80AAE0442E}">
  <dimension ref="A1:L54"/>
  <sheetViews>
    <sheetView zoomScale="130" zoomScaleNormal="130" workbookViewId="0"/>
  </sheetViews>
  <sheetFormatPr defaultRowHeight="15"/>
  <cols>
    <col min="1" max="1" width="3.7109375" customWidth="1"/>
    <col min="2" max="2" width="14.140625" customWidth="1"/>
    <col min="3" max="12" width="8.7109375" customWidth="1"/>
  </cols>
  <sheetData>
    <row r="1" spans="1:12" ht="15" customHeight="1">
      <c r="A1" s="157"/>
      <c r="B1" s="158"/>
      <c r="L1" s="159"/>
    </row>
    <row r="2" spans="1:12" ht="20.100000000000001" customHeight="1">
      <c r="A2" s="157"/>
      <c r="B2" s="160"/>
      <c r="C2" s="169" t="s">
        <v>467</v>
      </c>
      <c r="D2" s="135"/>
      <c r="E2" s="135"/>
      <c r="F2" s="135"/>
      <c r="G2" s="135"/>
      <c r="H2" s="135"/>
      <c r="I2" s="135"/>
      <c r="J2" s="135"/>
      <c r="K2" s="135"/>
      <c r="L2" s="159"/>
    </row>
    <row r="3" spans="1:12" ht="20.100000000000001" customHeight="1">
      <c r="A3" s="157"/>
      <c r="B3" s="160"/>
      <c r="C3" s="170" t="s">
        <v>468</v>
      </c>
      <c r="D3" s="135"/>
      <c r="E3" s="135"/>
      <c r="F3" s="135"/>
      <c r="G3" s="135"/>
      <c r="H3" s="135"/>
      <c r="I3" s="135"/>
      <c r="J3" s="135"/>
      <c r="K3" s="135"/>
      <c r="L3" s="159"/>
    </row>
    <row r="4" spans="1:12" ht="15.95" customHeight="1">
      <c r="A4" s="157"/>
      <c r="B4" s="160"/>
      <c r="C4" s="155"/>
      <c r="D4" s="135"/>
      <c r="E4" s="135"/>
      <c r="F4" s="135"/>
      <c r="G4" s="135"/>
      <c r="H4" s="135"/>
      <c r="I4" s="135"/>
      <c r="J4" s="135"/>
      <c r="K4" s="135"/>
      <c r="L4" s="159"/>
    </row>
    <row r="5" spans="1:12" ht="15.95" customHeight="1">
      <c r="A5" s="157"/>
      <c r="B5" s="171" t="s">
        <v>469</v>
      </c>
      <c r="C5" s="168" t="s">
        <v>470</v>
      </c>
      <c r="D5" s="156"/>
      <c r="E5" s="156"/>
      <c r="F5" s="156"/>
      <c r="G5" s="156"/>
      <c r="H5" s="156"/>
      <c r="I5" s="156"/>
      <c r="J5" s="156"/>
      <c r="K5" s="156"/>
      <c r="L5" s="159"/>
    </row>
    <row r="6" spans="1:12" ht="15.95" customHeight="1">
      <c r="A6" s="157"/>
      <c r="B6" s="172" t="s">
        <v>471</v>
      </c>
      <c r="C6" s="167" t="s">
        <v>190</v>
      </c>
      <c r="D6" s="156"/>
      <c r="E6" s="156"/>
      <c r="F6" s="156"/>
      <c r="G6" s="156"/>
      <c r="H6" s="156"/>
      <c r="I6" s="156"/>
      <c r="J6" s="156"/>
      <c r="K6" s="156"/>
      <c r="L6" s="159"/>
    </row>
    <row r="7" spans="1:12" ht="15.95" customHeight="1">
      <c r="A7" s="157"/>
      <c r="B7" s="172" t="s">
        <v>472</v>
      </c>
      <c r="C7" s="174" t="s">
        <v>473</v>
      </c>
      <c r="D7" s="156"/>
      <c r="E7" s="156"/>
      <c r="F7" s="156"/>
      <c r="G7" s="156"/>
      <c r="H7" s="156"/>
      <c r="I7" s="156"/>
      <c r="J7" s="156"/>
      <c r="K7" s="156"/>
      <c r="L7" s="159"/>
    </row>
    <row r="8" spans="1:12" ht="15.95" customHeight="1">
      <c r="A8" s="157"/>
      <c r="B8" s="172"/>
      <c r="C8" s="174"/>
      <c r="D8" s="156"/>
      <c r="E8" s="156"/>
      <c r="F8" s="156"/>
      <c r="G8" s="156"/>
      <c r="H8" s="156"/>
      <c r="I8" s="156"/>
      <c r="J8" s="156"/>
      <c r="K8" s="156"/>
      <c r="L8" s="159"/>
    </row>
    <row r="9" spans="1:12" ht="15.95" customHeight="1">
      <c r="A9" s="157"/>
      <c r="B9" s="182" t="s">
        <v>474</v>
      </c>
      <c r="C9" s="183" t="s">
        <v>475</v>
      </c>
      <c r="D9" s="156"/>
      <c r="E9" s="156"/>
      <c r="F9" s="156"/>
      <c r="G9" s="156"/>
      <c r="H9" s="156"/>
      <c r="I9" s="156"/>
      <c r="J9" s="156"/>
      <c r="K9" s="156"/>
      <c r="L9" s="159"/>
    </row>
    <row r="10" spans="1:12" ht="15.95" customHeight="1">
      <c r="A10" s="157"/>
      <c r="B10" s="172"/>
      <c r="C10" s="183"/>
      <c r="D10" s="156"/>
      <c r="E10" s="156"/>
      <c r="F10" s="156"/>
      <c r="G10" s="156"/>
      <c r="H10" s="156"/>
      <c r="I10" s="156"/>
      <c r="J10" s="156"/>
      <c r="K10" s="156"/>
      <c r="L10" s="159"/>
    </row>
    <row r="11" spans="1:12" ht="15.95" customHeight="1">
      <c r="A11" s="157"/>
      <c r="B11" s="172" t="s">
        <v>476</v>
      </c>
      <c r="C11" s="174" t="s">
        <v>477</v>
      </c>
      <c r="D11" s="156"/>
      <c r="E11" s="156"/>
      <c r="F11" s="156"/>
      <c r="G11" s="156"/>
      <c r="H11" s="156"/>
      <c r="I11" s="156"/>
      <c r="J11" s="156"/>
      <c r="K11" s="156"/>
      <c r="L11" s="159"/>
    </row>
    <row r="12" spans="1:12" ht="15.95" customHeight="1">
      <c r="A12" s="157"/>
      <c r="B12" s="172"/>
      <c r="C12" s="174" t="s">
        <v>478</v>
      </c>
      <c r="D12" s="156"/>
      <c r="E12" s="156"/>
      <c r="F12" s="156"/>
      <c r="G12" s="156"/>
      <c r="H12" s="156"/>
      <c r="I12" s="156"/>
      <c r="J12" s="156"/>
      <c r="K12" s="156"/>
      <c r="L12" s="159"/>
    </row>
    <row r="13" spans="1:12" ht="15.95" customHeight="1">
      <c r="A13" s="157"/>
      <c r="B13" s="172"/>
      <c r="C13" s="174" t="s">
        <v>479</v>
      </c>
      <c r="D13" s="156"/>
      <c r="E13" s="156"/>
      <c r="F13" s="156"/>
      <c r="G13" s="156"/>
      <c r="H13" s="156"/>
      <c r="I13" s="156"/>
      <c r="J13" s="156"/>
      <c r="K13" s="156"/>
      <c r="L13" s="159"/>
    </row>
    <row r="14" spans="1:12" ht="15.95" customHeight="1">
      <c r="A14" s="157"/>
      <c r="B14" s="172"/>
      <c r="C14" s="174"/>
      <c r="D14" s="156"/>
      <c r="E14" s="156"/>
      <c r="F14" s="156"/>
      <c r="G14" s="156"/>
      <c r="H14" s="156"/>
      <c r="I14" s="156"/>
      <c r="J14" s="156"/>
      <c r="K14" s="156"/>
      <c r="L14" s="159"/>
    </row>
    <row r="15" spans="1:12" ht="15.95" customHeight="1">
      <c r="A15" s="157"/>
      <c r="B15" s="172" t="s">
        <v>53</v>
      </c>
      <c r="C15" s="174" t="s">
        <v>480</v>
      </c>
      <c r="D15" s="156"/>
      <c r="E15" s="156"/>
      <c r="F15" s="156"/>
      <c r="G15" s="156"/>
      <c r="H15" s="156"/>
      <c r="I15" s="156"/>
      <c r="J15" s="156"/>
      <c r="K15" s="156"/>
      <c r="L15" s="159"/>
    </row>
    <row r="16" spans="1:12" ht="15.95" customHeight="1">
      <c r="A16" s="157"/>
      <c r="B16" s="172"/>
      <c r="C16" s="174" t="s">
        <v>481</v>
      </c>
      <c r="D16" s="156"/>
      <c r="E16" s="156"/>
      <c r="F16" s="156"/>
      <c r="G16" s="156"/>
      <c r="H16" s="156"/>
      <c r="I16" s="156"/>
      <c r="J16" s="156"/>
      <c r="K16" s="156"/>
      <c r="L16" s="159"/>
    </row>
    <row r="17" spans="1:12" ht="15.95" customHeight="1">
      <c r="A17" s="157"/>
      <c r="B17" s="172"/>
      <c r="C17" s="174"/>
      <c r="D17" s="156"/>
      <c r="E17" s="156"/>
      <c r="F17" s="156"/>
      <c r="G17" s="156"/>
      <c r="H17" s="156"/>
      <c r="I17" s="156"/>
      <c r="J17" s="156"/>
      <c r="K17" s="156"/>
      <c r="L17" s="159"/>
    </row>
    <row r="18" spans="1:12" ht="15.95" customHeight="1">
      <c r="A18" s="157"/>
      <c r="B18" s="172" t="s">
        <v>482</v>
      </c>
      <c r="C18" s="176" t="s">
        <v>483</v>
      </c>
      <c r="D18" s="156"/>
      <c r="E18" s="156"/>
      <c r="F18" s="156"/>
      <c r="G18" s="156"/>
      <c r="H18" s="165" t="s">
        <v>484</v>
      </c>
      <c r="I18" s="156"/>
      <c r="J18" s="156"/>
      <c r="K18" s="156"/>
      <c r="L18" s="159"/>
    </row>
    <row r="19" spans="1:12" ht="15.95" customHeight="1">
      <c r="A19" s="157"/>
      <c r="B19" s="172"/>
      <c r="C19" s="177" t="s">
        <v>485</v>
      </c>
      <c r="D19" s="156"/>
      <c r="E19" s="156"/>
      <c r="F19" s="156"/>
      <c r="G19" s="156"/>
      <c r="H19" s="165" t="s">
        <v>486</v>
      </c>
      <c r="I19" s="161"/>
      <c r="J19" s="161"/>
      <c r="K19" s="161"/>
      <c r="L19" s="159"/>
    </row>
    <row r="20" spans="1:12" ht="15.95" customHeight="1">
      <c r="A20" s="157"/>
      <c r="B20" s="172"/>
      <c r="C20" s="177" t="s">
        <v>381</v>
      </c>
      <c r="D20" s="156"/>
      <c r="E20" s="156"/>
      <c r="F20" s="156"/>
      <c r="G20" s="156"/>
      <c r="H20" s="165" t="s">
        <v>487</v>
      </c>
      <c r="I20" s="161"/>
      <c r="J20" s="161"/>
      <c r="K20" s="161"/>
      <c r="L20" s="159"/>
    </row>
    <row r="21" spans="1:12" ht="15.95" customHeight="1">
      <c r="A21" s="157"/>
      <c r="B21" s="172"/>
      <c r="C21" s="177" t="s">
        <v>354</v>
      </c>
      <c r="D21" s="156"/>
      <c r="E21" s="156"/>
      <c r="F21" s="156"/>
      <c r="G21" s="156"/>
      <c r="H21" s="165" t="s">
        <v>488</v>
      </c>
      <c r="I21" s="161"/>
      <c r="J21" s="161"/>
      <c r="K21" s="161"/>
      <c r="L21" s="159"/>
    </row>
    <row r="22" spans="1:12" ht="15.95" customHeight="1">
      <c r="A22" s="157"/>
      <c r="B22" s="172"/>
      <c r="C22" s="177" t="s">
        <v>489</v>
      </c>
      <c r="D22" s="156"/>
      <c r="E22" s="156"/>
      <c r="F22" s="156"/>
      <c r="G22" s="156"/>
      <c r="H22" s="165" t="s">
        <v>490</v>
      </c>
      <c r="I22" s="161"/>
      <c r="J22" s="161"/>
      <c r="K22" s="161"/>
      <c r="L22" s="159"/>
    </row>
    <row r="23" spans="1:12" ht="15.95" customHeight="1">
      <c r="A23" s="157"/>
      <c r="B23" s="172"/>
      <c r="C23" s="177" t="s">
        <v>356</v>
      </c>
      <c r="D23" s="156"/>
      <c r="E23" s="156"/>
      <c r="F23" s="156"/>
      <c r="G23" s="156"/>
      <c r="H23" s="165" t="s">
        <v>491</v>
      </c>
      <c r="I23" s="161"/>
      <c r="J23" s="161"/>
      <c r="K23" s="161"/>
      <c r="L23" s="159"/>
    </row>
    <row r="24" spans="1:12" ht="15.95" customHeight="1">
      <c r="A24" s="157"/>
      <c r="B24" s="172"/>
      <c r="C24" s="177" t="s">
        <v>284</v>
      </c>
      <c r="D24" s="156"/>
      <c r="E24" s="156"/>
      <c r="F24" s="156"/>
      <c r="G24" s="156"/>
      <c r="H24" s="165" t="s">
        <v>492</v>
      </c>
      <c r="I24" s="161"/>
      <c r="J24" s="161"/>
      <c r="K24" s="161"/>
      <c r="L24" s="159"/>
    </row>
    <row r="25" spans="1:12" ht="15.95" customHeight="1">
      <c r="A25" s="157"/>
      <c r="B25" s="172"/>
      <c r="C25" s="177" t="s">
        <v>359</v>
      </c>
      <c r="D25" s="156"/>
      <c r="E25" s="156"/>
      <c r="F25" s="156"/>
      <c r="G25" s="156"/>
      <c r="H25" s="165" t="s">
        <v>493</v>
      </c>
      <c r="I25" s="161"/>
      <c r="J25" s="161"/>
      <c r="K25" s="161"/>
      <c r="L25" s="159"/>
    </row>
    <row r="26" spans="1:12" ht="15.95" customHeight="1">
      <c r="A26" s="157"/>
      <c r="B26" s="172"/>
      <c r="C26" s="177" t="s">
        <v>76</v>
      </c>
      <c r="D26" s="156"/>
      <c r="E26" s="156"/>
      <c r="F26" s="156"/>
      <c r="G26" s="156"/>
      <c r="H26" s="165" t="s">
        <v>494</v>
      </c>
      <c r="I26" s="161"/>
      <c r="J26" s="161"/>
      <c r="K26" s="161"/>
      <c r="L26" s="159"/>
    </row>
    <row r="27" spans="1:12" ht="15.95" customHeight="1">
      <c r="A27" s="157"/>
      <c r="B27" s="172"/>
      <c r="C27" s="177" t="s">
        <v>387</v>
      </c>
      <c r="D27" s="156"/>
      <c r="E27" s="156"/>
      <c r="F27" s="156"/>
      <c r="G27" s="156"/>
      <c r="H27" s="165" t="s">
        <v>495</v>
      </c>
      <c r="I27" s="161"/>
      <c r="J27" s="161"/>
      <c r="K27" s="161"/>
      <c r="L27" s="159"/>
    </row>
    <row r="28" spans="1:12" ht="15.95" customHeight="1">
      <c r="A28" s="157"/>
      <c r="B28" s="172"/>
      <c r="C28" s="178"/>
      <c r="D28" s="156"/>
      <c r="E28" s="156"/>
      <c r="F28" s="156"/>
      <c r="G28" s="156"/>
      <c r="H28" s="156"/>
      <c r="I28" s="156"/>
      <c r="J28" s="156"/>
      <c r="K28" s="156"/>
      <c r="L28" s="159"/>
    </row>
    <row r="29" spans="1:12" ht="15.95" customHeight="1">
      <c r="A29" s="157"/>
      <c r="B29" s="172" t="s">
        <v>496</v>
      </c>
      <c r="C29" s="164" t="s">
        <v>497</v>
      </c>
      <c r="D29" s="156"/>
      <c r="E29" s="156"/>
      <c r="F29" s="156"/>
      <c r="G29" s="156"/>
      <c r="H29" s="156"/>
      <c r="I29" s="156"/>
      <c r="J29" s="156"/>
      <c r="K29" s="156"/>
      <c r="L29" s="159"/>
    </row>
    <row r="30" spans="1:12" ht="15.95" customHeight="1">
      <c r="A30" s="157"/>
      <c r="B30" s="172"/>
      <c r="C30" s="181" t="s">
        <v>498</v>
      </c>
      <c r="D30" s="184" t="s">
        <v>499</v>
      </c>
      <c r="F30" s="165" t="s">
        <v>500</v>
      </c>
      <c r="G30" s="156"/>
      <c r="H30" s="156"/>
      <c r="I30" s="156"/>
      <c r="J30" s="156"/>
      <c r="K30" s="156"/>
      <c r="L30" s="159"/>
    </row>
    <row r="31" spans="1:12" ht="15.95" customHeight="1">
      <c r="A31" s="157"/>
      <c r="B31" s="172"/>
      <c r="C31" s="181"/>
      <c r="D31" s="166"/>
      <c r="F31" s="165" t="s">
        <v>501</v>
      </c>
      <c r="G31" s="156"/>
      <c r="H31" s="156"/>
      <c r="I31" s="156"/>
      <c r="J31" s="156"/>
      <c r="K31" s="156"/>
      <c r="L31" s="159"/>
    </row>
    <row r="32" spans="1:12" ht="15.95" customHeight="1">
      <c r="A32" s="157"/>
      <c r="B32" s="172"/>
      <c r="C32" s="181" t="s">
        <v>502</v>
      </c>
      <c r="D32" s="184" t="s">
        <v>503</v>
      </c>
      <c r="F32" s="165" t="s">
        <v>504</v>
      </c>
      <c r="G32" s="156"/>
      <c r="H32" s="156"/>
      <c r="I32" s="156"/>
      <c r="J32" s="156"/>
      <c r="K32" s="156"/>
      <c r="L32" s="159"/>
    </row>
    <row r="33" spans="1:12" ht="15.95" customHeight="1">
      <c r="A33" s="157"/>
      <c r="B33" s="172"/>
      <c r="C33" s="181" t="s">
        <v>505</v>
      </c>
      <c r="D33" s="184" t="s">
        <v>429</v>
      </c>
      <c r="F33" s="165" t="s">
        <v>506</v>
      </c>
      <c r="G33" s="156"/>
      <c r="H33" s="156"/>
      <c r="I33" s="156"/>
      <c r="J33" s="156"/>
      <c r="K33" s="156"/>
      <c r="L33" s="159"/>
    </row>
    <row r="34" spans="1:12" ht="15.95" customHeight="1">
      <c r="A34" s="157"/>
      <c r="B34" s="172"/>
      <c r="C34" s="181"/>
      <c r="D34" s="166"/>
      <c r="E34" s="162"/>
      <c r="F34" s="165" t="s">
        <v>507</v>
      </c>
      <c r="G34" s="156"/>
      <c r="H34" s="156"/>
      <c r="I34" s="156"/>
      <c r="J34" s="156"/>
      <c r="K34" s="156"/>
      <c r="L34" s="159"/>
    </row>
    <row r="35" spans="1:12" ht="15.95" customHeight="1">
      <c r="A35" s="157"/>
      <c r="B35" s="172"/>
      <c r="C35" s="181"/>
      <c r="D35" s="166"/>
      <c r="G35" s="156"/>
      <c r="H35" s="156"/>
      <c r="I35" s="156"/>
      <c r="J35" s="156"/>
      <c r="K35" s="156"/>
      <c r="L35" s="159"/>
    </row>
    <row r="36" spans="1:12" ht="15.95" customHeight="1">
      <c r="A36" s="157"/>
      <c r="B36" s="172"/>
      <c r="C36" s="164" t="s">
        <v>508</v>
      </c>
      <c r="D36" s="162"/>
      <c r="E36" s="156"/>
      <c r="F36" s="156"/>
      <c r="G36" s="156"/>
      <c r="H36" s="156"/>
      <c r="I36" s="156"/>
      <c r="J36" s="156"/>
      <c r="K36" s="156"/>
      <c r="L36" s="159"/>
    </row>
    <row r="37" spans="1:12" ht="15.95" customHeight="1">
      <c r="A37" s="157"/>
      <c r="B37" s="172"/>
      <c r="C37" s="166" t="s">
        <v>429</v>
      </c>
      <c r="E37" s="165" t="s">
        <v>509</v>
      </c>
      <c r="G37" s="156"/>
      <c r="H37" s="156"/>
      <c r="I37" s="156"/>
      <c r="J37" s="156"/>
      <c r="K37" s="156"/>
      <c r="L37" s="159"/>
    </row>
    <row r="38" spans="1:12" ht="15.95" customHeight="1">
      <c r="A38" s="157"/>
      <c r="B38" s="172"/>
      <c r="D38" s="163"/>
      <c r="E38" s="165" t="s">
        <v>510</v>
      </c>
      <c r="G38" s="156"/>
      <c r="H38" s="156"/>
      <c r="I38" s="156"/>
      <c r="J38" s="156"/>
      <c r="K38" s="156"/>
      <c r="L38" s="159"/>
    </row>
    <row r="39" spans="1:12" ht="15.95" customHeight="1">
      <c r="A39" s="157"/>
      <c r="B39" s="172"/>
      <c r="D39" s="163"/>
      <c r="E39" s="165" t="s">
        <v>511</v>
      </c>
      <c r="G39" s="156"/>
      <c r="H39" s="156"/>
      <c r="I39" s="156"/>
      <c r="J39" s="156"/>
      <c r="K39" s="156"/>
      <c r="L39" s="159"/>
    </row>
    <row r="40" spans="1:12" ht="15.95" customHeight="1">
      <c r="A40" s="157"/>
      <c r="B40" s="172"/>
      <c r="C40" s="156"/>
      <c r="D40" s="162"/>
      <c r="E40" s="165" t="s">
        <v>512</v>
      </c>
      <c r="G40" s="156"/>
      <c r="H40" s="156"/>
      <c r="I40" s="156"/>
      <c r="J40" s="156"/>
      <c r="K40" s="156"/>
      <c r="L40" s="159"/>
    </row>
    <row r="41" spans="1:12" ht="15.95" customHeight="1">
      <c r="A41" s="157"/>
      <c r="B41" s="172"/>
      <c r="C41" s="156"/>
      <c r="D41" s="162"/>
      <c r="E41" s="165" t="s">
        <v>513</v>
      </c>
      <c r="F41" s="161"/>
      <c r="G41" s="156"/>
      <c r="H41" s="156"/>
      <c r="I41" s="156"/>
      <c r="J41" s="156"/>
      <c r="K41" s="156"/>
      <c r="L41" s="159"/>
    </row>
    <row r="42" spans="1:12" ht="15.95" customHeight="1">
      <c r="A42" s="157"/>
      <c r="B42" s="172"/>
      <c r="C42" s="175"/>
      <c r="D42" s="162"/>
      <c r="E42" s="165"/>
      <c r="F42" s="161"/>
      <c r="G42" s="156"/>
      <c r="H42" s="156"/>
      <c r="I42" s="156"/>
      <c r="J42" s="156"/>
      <c r="K42" s="156"/>
      <c r="L42" s="159"/>
    </row>
    <row r="43" spans="1:12" ht="15.95" customHeight="1">
      <c r="A43" s="157"/>
      <c r="B43" s="172" t="s">
        <v>388</v>
      </c>
      <c r="C43" s="167" t="s">
        <v>187</v>
      </c>
      <c r="D43" s="156"/>
      <c r="E43" s="156"/>
      <c r="G43" s="156"/>
      <c r="H43" s="156"/>
      <c r="I43" s="156"/>
      <c r="J43" s="156"/>
      <c r="K43" s="156"/>
      <c r="L43" s="159"/>
    </row>
    <row r="44" spans="1:12" ht="15.95" customHeight="1">
      <c r="A44" s="157"/>
      <c r="B44" s="172"/>
      <c r="C44" s="167" t="s">
        <v>331</v>
      </c>
      <c r="D44" s="156"/>
      <c r="E44" s="156"/>
      <c r="F44" s="161"/>
      <c r="G44" s="156"/>
      <c r="H44" s="156"/>
      <c r="I44" s="156"/>
      <c r="J44" s="156"/>
      <c r="K44" s="156"/>
      <c r="L44" s="159"/>
    </row>
    <row r="45" spans="1:12" ht="15.95" customHeight="1">
      <c r="A45" s="157"/>
      <c r="B45" s="172"/>
      <c r="D45" s="156"/>
      <c r="E45" s="156"/>
      <c r="F45" s="156"/>
      <c r="G45" s="156"/>
      <c r="H45" s="156"/>
      <c r="I45" s="156"/>
      <c r="J45" s="156"/>
      <c r="K45" s="156"/>
      <c r="L45" s="159"/>
    </row>
    <row r="46" spans="1:12" ht="15.95" customHeight="1">
      <c r="A46" s="157"/>
      <c r="B46" s="172" t="s">
        <v>389</v>
      </c>
      <c r="C46" s="156" t="s">
        <v>514</v>
      </c>
      <c r="D46" s="156"/>
      <c r="E46" s="156"/>
      <c r="F46" s="156"/>
      <c r="G46" s="156"/>
      <c r="H46" s="156"/>
      <c r="I46" s="156"/>
      <c r="J46" s="156"/>
      <c r="K46" s="156"/>
      <c r="L46" s="159"/>
    </row>
    <row r="47" spans="1:12" ht="15.95" customHeight="1">
      <c r="A47" s="157"/>
      <c r="B47" s="172" t="s">
        <v>515</v>
      </c>
      <c r="C47" s="156" t="s">
        <v>516</v>
      </c>
      <c r="D47" s="156"/>
      <c r="E47" s="156"/>
      <c r="F47" s="156"/>
      <c r="G47" s="156"/>
      <c r="H47" s="156"/>
      <c r="I47" s="156"/>
      <c r="J47" s="156"/>
      <c r="K47" s="156"/>
      <c r="L47" s="159"/>
    </row>
    <row r="48" spans="1:12" ht="15.95" customHeight="1">
      <c r="A48" s="157"/>
      <c r="B48" s="172"/>
      <c r="C48" s="156" t="s">
        <v>517</v>
      </c>
      <c r="D48" s="156"/>
      <c r="E48" s="156"/>
      <c r="F48" s="156"/>
      <c r="G48" s="156"/>
      <c r="H48" s="156"/>
      <c r="I48" s="156"/>
      <c r="J48" s="156"/>
      <c r="K48" s="156"/>
      <c r="L48" s="159"/>
    </row>
    <row r="49" spans="1:12" ht="15.95" customHeight="1">
      <c r="A49" s="157"/>
      <c r="B49" s="172"/>
      <c r="C49" s="156"/>
      <c r="D49" s="156"/>
      <c r="E49" s="156"/>
      <c r="F49" s="156"/>
      <c r="G49" s="156"/>
      <c r="H49" s="156"/>
      <c r="I49" s="156"/>
      <c r="J49" s="156"/>
      <c r="K49" s="156"/>
      <c r="L49" s="159"/>
    </row>
    <row r="50" spans="1:12" ht="15.95" customHeight="1">
      <c r="A50" s="157"/>
      <c r="B50" s="172"/>
      <c r="C50" s="156"/>
      <c r="D50" s="156"/>
      <c r="E50" s="156"/>
      <c r="F50" s="156"/>
      <c r="G50" s="156"/>
      <c r="H50" s="156"/>
      <c r="I50" s="156"/>
      <c r="J50" s="156"/>
      <c r="K50" s="156"/>
      <c r="L50" s="159"/>
    </row>
    <row r="51" spans="1:12" ht="15.95" customHeight="1">
      <c r="A51" s="157"/>
      <c r="B51" s="172"/>
      <c r="C51" s="156"/>
      <c r="D51" s="156"/>
      <c r="E51" s="156"/>
      <c r="F51" s="156"/>
      <c r="G51" s="156"/>
      <c r="H51" s="156"/>
      <c r="I51" s="156"/>
      <c r="J51" s="156"/>
      <c r="K51" s="156"/>
      <c r="L51" s="159"/>
    </row>
    <row r="52" spans="1:12" ht="15.95" customHeight="1">
      <c r="A52" s="157"/>
      <c r="B52" s="172"/>
      <c r="C52" s="156" t="s">
        <v>363</v>
      </c>
      <c r="D52" s="156"/>
      <c r="E52" s="156"/>
      <c r="F52" s="156"/>
      <c r="G52" s="156"/>
      <c r="H52" s="156"/>
      <c r="I52" s="156"/>
      <c r="J52" s="156"/>
      <c r="K52" s="156"/>
      <c r="L52" s="159"/>
    </row>
    <row r="53" spans="1:12" ht="15.95" customHeight="1">
      <c r="A53" s="157"/>
      <c r="B53" s="172"/>
      <c r="C53" s="156" t="str">
        <f ca="1">TEXT(NOW(),"TT. MMM. JJJJ")</f>
        <v>16. Feb. 2026</v>
      </c>
      <c r="D53" s="156"/>
      <c r="E53" s="156"/>
      <c r="F53" s="156"/>
      <c r="G53" s="156"/>
      <c r="H53" s="156"/>
      <c r="I53" s="156"/>
      <c r="J53" s="156"/>
      <c r="K53" s="156"/>
      <c r="L53" s="159"/>
    </row>
    <row r="54" spans="1:12" ht="15.95" customHeight="1">
      <c r="A54" s="157"/>
      <c r="B54" s="173"/>
      <c r="L54" s="159"/>
    </row>
  </sheetData>
  <hyperlinks>
    <hyperlink ref="C5" r:id="rId1" display="+4917646774278" xr:uid="{C41E5A09-254E-4201-B08A-7D5AD897FB42}"/>
    <hyperlink ref="C6" r:id="rId2" xr:uid="{E3A14708-D417-4511-9238-1973EB2BBA88}"/>
    <hyperlink ref="D30" r:id="rId3" xr:uid="{C7037252-35B4-4091-BE7E-4D9F99626526}"/>
    <hyperlink ref="D33" r:id="rId4" xr:uid="{061E8C21-A8D4-4CE6-9BBF-F06FD15A87AB}"/>
    <hyperlink ref="C37" r:id="rId5" xr:uid="{23664726-3124-4953-97A7-3CBDDC9E3859}"/>
    <hyperlink ref="C43" r:id="rId6" xr:uid="{3FFD651A-234F-42C5-A1B3-A00D9C49B4EC}"/>
    <hyperlink ref="C44" r:id="rId7" xr:uid="{55608358-52E6-41F4-A2D4-D7AFAEB4F23B}"/>
    <hyperlink ref="C18" r:id="rId8" xr:uid="{0126F177-DA7C-4973-844D-22969D153FD4}"/>
    <hyperlink ref="C19" r:id="rId9" xr:uid="{19B6F0B8-1FE7-420C-BC3E-3485BB668FEB}"/>
    <hyperlink ref="C20" r:id="rId10" xr:uid="{347AA7AB-F72C-44A1-B920-1ED1A212533A}"/>
    <hyperlink ref="C21" r:id="rId11" xr:uid="{B884FB4D-AB29-445F-AE7B-25F4F82E269C}"/>
    <hyperlink ref="C22" r:id="rId12" xr:uid="{27F82B10-F4A7-4E43-A4E0-9A1CD1B0E6E0}"/>
    <hyperlink ref="C23" r:id="rId13" xr:uid="{D796D4AD-9B28-4362-B5DD-9C8C34094DA3}"/>
    <hyperlink ref="C24" r:id="rId14" xr:uid="{D1486F86-7929-4C07-B2BF-4134EEC33D6A}"/>
    <hyperlink ref="C25" r:id="rId15" xr:uid="{2A7678B2-ADC0-43D9-A920-7525BAA12942}"/>
    <hyperlink ref="C26" r:id="rId16" xr:uid="{708BAD7E-9F68-40C9-9D79-E7DEB7D72DEB}"/>
    <hyperlink ref="C27" r:id="rId17" xr:uid="{61D1781E-7C12-4EB9-99DF-A681D38A4B90}"/>
  </hyperlinks>
  <printOptions horizontalCentered="1" verticalCentered="1"/>
  <pageMargins left="0" right="0" top="0" bottom="0" header="0" footer="0"/>
  <pageSetup paperSize="9" fitToHeight="0" orientation="portrait" r:id="rId18"/>
  <drawing r:id="rId1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5D2DA-6309-4E6F-B44F-AF4067EDAB90}">
  <sheetPr>
    <pageSetUpPr fitToPage="1"/>
  </sheetPr>
  <dimension ref="A1:AH54"/>
  <sheetViews>
    <sheetView tabSelected="1" zoomScaleNormal="100" workbookViewId="0">
      <selection activeCell="M8" sqref="M8"/>
    </sheetView>
  </sheetViews>
  <sheetFormatPr defaultRowHeight="15"/>
  <cols>
    <col min="1" max="1" width="3.7109375" customWidth="1"/>
    <col min="2" max="2" width="14.28515625" customWidth="1"/>
    <col min="3" max="11" width="8.7109375" customWidth="1"/>
    <col min="12" max="12" width="8.28515625" customWidth="1"/>
    <col min="14" max="14" width="0.85546875" customWidth="1"/>
    <col min="15" max="15" width="3.7109375" customWidth="1"/>
    <col min="16" max="16" width="14.28515625" customWidth="1"/>
    <col min="17" max="24" width="9.85546875" customWidth="1"/>
    <col min="25" max="25" width="8.28515625" customWidth="1"/>
    <col min="26" max="26" width="0.85546875" customWidth="1"/>
  </cols>
  <sheetData>
    <row r="1" spans="1:27" ht="15" customHeight="1">
      <c r="A1" s="157"/>
      <c r="B1" s="158"/>
      <c r="L1" s="159"/>
      <c r="N1" t="s">
        <v>261</v>
      </c>
      <c r="O1" s="157"/>
      <c r="P1" s="158"/>
      <c r="Y1" s="159"/>
      <c r="Z1" t="s">
        <v>261</v>
      </c>
    </row>
    <row r="2" spans="1:27" ht="20.100000000000001" customHeight="1">
      <c r="A2" s="157"/>
      <c r="B2" s="160"/>
      <c r="C2" s="169" t="s">
        <v>467</v>
      </c>
      <c r="D2" s="135"/>
      <c r="E2" s="135"/>
      <c r="F2" s="135"/>
      <c r="G2" s="135"/>
      <c r="H2" s="135"/>
      <c r="I2" s="135"/>
      <c r="J2" s="135"/>
      <c r="K2" s="135"/>
      <c r="L2" s="159"/>
      <c r="M2" s="135"/>
      <c r="N2" t="s">
        <v>261</v>
      </c>
      <c r="O2" s="157"/>
      <c r="P2" s="200"/>
      <c r="Q2" s="179"/>
      <c r="R2" s="179"/>
      <c r="S2" s="179"/>
      <c r="T2" s="209" t="s">
        <v>519</v>
      </c>
      <c r="U2" s="179"/>
      <c r="V2" s="179"/>
      <c r="W2" s="179"/>
      <c r="X2" s="179"/>
      <c r="Y2" s="159"/>
      <c r="Z2" t="s">
        <v>261</v>
      </c>
    </row>
    <row r="3" spans="1:27" ht="20.100000000000001" customHeight="1">
      <c r="A3" s="157"/>
      <c r="B3" s="160"/>
      <c r="C3" s="170" t="s">
        <v>518</v>
      </c>
      <c r="D3" s="135"/>
      <c r="E3" s="135"/>
      <c r="F3" s="135"/>
      <c r="G3" s="135"/>
      <c r="H3" s="135"/>
      <c r="I3" s="135"/>
      <c r="J3" s="135"/>
      <c r="K3" s="135"/>
      <c r="L3" s="159"/>
      <c r="M3" s="135"/>
      <c r="N3" t="s">
        <v>261</v>
      </c>
      <c r="O3" s="157"/>
      <c r="P3" s="158"/>
      <c r="T3" s="201" t="str">
        <f>+"            "&amp;C2</f>
        <v xml:space="preserve">            Victor Randolph Wright </v>
      </c>
      <c r="Y3" s="159"/>
      <c r="Z3" t="s">
        <v>261</v>
      </c>
      <c r="AA3" t="s">
        <v>522</v>
      </c>
    </row>
    <row r="4" spans="1:27" ht="15.95" customHeight="1">
      <c r="A4" s="157"/>
      <c r="B4" s="160"/>
      <c r="C4" s="155"/>
      <c r="D4" s="135"/>
      <c r="E4" s="135"/>
      <c r="F4" s="135"/>
      <c r="G4" s="135"/>
      <c r="H4" s="135"/>
      <c r="I4" s="135"/>
      <c r="J4" s="135"/>
      <c r="K4" s="135"/>
      <c r="L4" s="159"/>
      <c r="M4" s="135"/>
      <c r="N4" t="s">
        <v>261</v>
      </c>
      <c r="O4" s="157"/>
      <c r="P4" s="158"/>
      <c r="T4" s="199" t="str">
        <f>+"            "&amp;C3</f>
        <v xml:space="preserve">            Web and Application Developer/Entwickler (Full Stack)</v>
      </c>
      <c r="Y4" s="159"/>
      <c r="Z4" t="s">
        <v>261</v>
      </c>
    </row>
    <row r="5" spans="1:27" ht="15.95" customHeight="1">
      <c r="A5" s="157"/>
      <c r="B5" s="171" t="s">
        <v>469</v>
      </c>
      <c r="C5" s="168" t="s">
        <v>535</v>
      </c>
      <c r="D5" s="156"/>
      <c r="E5" s="156"/>
      <c r="F5" s="156"/>
      <c r="G5" s="156"/>
      <c r="H5" s="156"/>
      <c r="I5" s="156"/>
      <c r="J5" s="156"/>
      <c r="K5" s="156"/>
      <c r="L5" s="159"/>
      <c r="M5" s="156"/>
      <c r="N5" t="s">
        <v>261</v>
      </c>
      <c r="O5" s="157"/>
      <c r="P5" s="158"/>
      <c r="Q5" s="202"/>
      <c r="R5" s="202"/>
      <c r="S5" s="202"/>
      <c r="T5" s="202"/>
      <c r="U5" s="202"/>
      <c r="V5" s="202"/>
      <c r="W5" s="202"/>
      <c r="X5" s="202"/>
      <c r="Y5" s="203"/>
      <c r="Z5" s="202" t="s">
        <v>261</v>
      </c>
    </row>
    <row r="6" spans="1:27" ht="15.95" customHeight="1">
      <c r="A6" s="157"/>
      <c r="B6" s="172" t="s">
        <v>471</v>
      </c>
      <c r="C6" s="167" t="s">
        <v>190</v>
      </c>
      <c r="D6" s="156"/>
      <c r="E6" s="156"/>
      <c r="F6" s="156"/>
      <c r="G6" s="156"/>
      <c r="H6" s="156"/>
      <c r="I6" s="156"/>
      <c r="J6" s="156"/>
      <c r="K6" s="156"/>
      <c r="L6" s="159"/>
      <c r="M6" s="156"/>
      <c r="N6" t="s">
        <v>261</v>
      </c>
      <c r="O6" s="205"/>
      <c r="P6" s="204"/>
      <c r="Q6" s="202"/>
      <c r="R6" s="202"/>
      <c r="S6" s="202"/>
      <c r="T6" s="202"/>
      <c r="U6" s="202"/>
      <c r="V6" s="202"/>
      <c r="W6" s="202"/>
      <c r="X6" s="202"/>
      <c r="Y6" s="203"/>
      <c r="Z6" s="202" t="s">
        <v>261</v>
      </c>
      <c r="AA6" s="212" t="s">
        <v>524</v>
      </c>
    </row>
    <row r="7" spans="1:27" ht="15.95" customHeight="1">
      <c r="A7" s="157"/>
      <c r="B7" s="172" t="s">
        <v>472</v>
      </c>
      <c r="C7" s="174" t="s">
        <v>473</v>
      </c>
      <c r="D7" s="156"/>
      <c r="E7" s="156"/>
      <c r="F7" s="156"/>
      <c r="G7" s="156"/>
      <c r="H7" s="156"/>
      <c r="I7" s="156"/>
      <c r="J7" s="156"/>
      <c r="K7" s="156"/>
      <c r="L7" s="159"/>
      <c r="M7" s="156"/>
      <c r="N7" t="s">
        <v>261</v>
      </c>
      <c r="O7" s="205"/>
      <c r="P7" s="206"/>
      <c r="Q7" s="207" t="str">
        <f>+AA7</f>
        <v>The Hiring Manager,</v>
      </c>
      <c r="R7" s="202"/>
      <c r="S7" s="202"/>
      <c r="T7" s="202"/>
      <c r="U7" s="202"/>
      <c r="V7" s="202"/>
      <c r="W7" s="174" t="str">
        <f ca="1">TEXT(NOW(),"TT. MMM. JJJJ")</f>
        <v>16. Feb. 2026</v>
      </c>
      <c r="X7" s="202"/>
      <c r="Y7" s="203"/>
      <c r="Z7" s="202" t="s">
        <v>261</v>
      </c>
      <c r="AA7" s="121" t="s">
        <v>521</v>
      </c>
    </row>
    <row r="8" spans="1:27" ht="15.95" customHeight="1">
      <c r="A8" s="157"/>
      <c r="B8" s="172"/>
      <c r="C8" s="174"/>
      <c r="D8" s="156"/>
      <c r="E8" s="156"/>
      <c r="F8" s="156"/>
      <c r="G8" s="156"/>
      <c r="H8" s="156"/>
      <c r="I8" s="156"/>
      <c r="J8" s="156"/>
      <c r="K8" s="156"/>
      <c r="L8" s="159"/>
      <c r="M8" s="156"/>
      <c r="N8" t="s">
        <v>261</v>
      </c>
      <c r="O8" s="205"/>
      <c r="P8" s="204"/>
      <c r="Q8" s="207" t="str">
        <f>+AA8</f>
        <v>AllocNow GmbH</v>
      </c>
      <c r="R8" s="202"/>
      <c r="S8" s="202"/>
      <c r="T8" s="202"/>
      <c r="U8" s="202"/>
      <c r="V8" s="202"/>
      <c r="W8" s="202"/>
      <c r="X8" s="202"/>
      <c r="Y8" s="203"/>
      <c r="Z8" s="202" t="s">
        <v>261</v>
      </c>
      <c r="AA8" s="121" t="s">
        <v>526</v>
      </c>
    </row>
    <row r="9" spans="1:27" ht="15.95" customHeight="1">
      <c r="A9" s="157"/>
      <c r="B9" s="182" t="s">
        <v>474</v>
      </c>
      <c r="C9" s="183" t="s">
        <v>475</v>
      </c>
      <c r="D9" s="156"/>
      <c r="E9" s="156"/>
      <c r="F9" s="156"/>
      <c r="G9" s="156"/>
      <c r="H9" s="156"/>
      <c r="I9" s="156"/>
      <c r="J9" s="156"/>
      <c r="K9" s="156"/>
      <c r="L9" s="159"/>
      <c r="M9" s="156"/>
      <c r="N9" t="s">
        <v>261</v>
      </c>
      <c r="O9" s="205"/>
      <c r="P9" s="204"/>
      <c r="Q9" s="202" t="str">
        <f>+AA9</f>
        <v>Friedrich-Ebert-Strasse 17</v>
      </c>
      <c r="S9" s="202"/>
      <c r="T9" s="202"/>
      <c r="U9" s="202"/>
      <c r="V9" s="202"/>
      <c r="W9" s="202"/>
      <c r="X9" s="202"/>
      <c r="Y9" s="203"/>
      <c r="Z9" s="202" t="s">
        <v>261</v>
      </c>
      <c r="AA9" t="s">
        <v>527</v>
      </c>
    </row>
    <row r="10" spans="1:27" ht="15.95" customHeight="1">
      <c r="A10" s="157"/>
      <c r="B10" s="172"/>
      <c r="C10" s="183"/>
      <c r="D10" s="156"/>
      <c r="E10" s="156"/>
      <c r="F10" s="156"/>
      <c r="G10" s="156"/>
      <c r="H10" s="156"/>
      <c r="I10" s="156"/>
      <c r="J10" s="156"/>
      <c r="K10" s="156"/>
      <c r="L10" s="159"/>
      <c r="M10" s="156"/>
      <c r="N10" t="s">
        <v>261</v>
      </c>
      <c r="O10" s="205"/>
      <c r="P10" s="204"/>
      <c r="Q10" s="202" t="str">
        <f>+AA10</f>
        <v>53177 Bonn</v>
      </c>
      <c r="R10" s="202"/>
      <c r="S10" s="202"/>
      <c r="T10" s="202"/>
      <c r="U10" s="202"/>
      <c r="V10" s="202"/>
      <c r="W10" s="202"/>
      <c r="X10" s="202"/>
      <c r="Y10" s="203"/>
      <c r="Z10" s="202" t="s">
        <v>261</v>
      </c>
      <c r="AA10" s="202" t="s">
        <v>528</v>
      </c>
    </row>
    <row r="11" spans="1:27" ht="15.95" customHeight="1">
      <c r="A11" s="157"/>
      <c r="B11" s="172" t="s">
        <v>476</v>
      </c>
      <c r="C11" s="174" t="s">
        <v>477</v>
      </c>
      <c r="D11" s="156"/>
      <c r="E11" s="156"/>
      <c r="F11" s="156"/>
      <c r="G11" s="156"/>
      <c r="H11" s="156"/>
      <c r="I11" s="156"/>
      <c r="J11" s="156"/>
      <c r="K11" s="156"/>
      <c r="L11" s="159"/>
      <c r="M11" s="156"/>
      <c r="N11" t="s">
        <v>261</v>
      </c>
      <c r="O11" s="205"/>
      <c r="P11" s="204"/>
      <c r="R11" s="202"/>
      <c r="S11" s="202"/>
      <c r="T11" s="202"/>
      <c r="U11" s="202"/>
      <c r="V11" s="202"/>
      <c r="W11" s="202"/>
      <c r="X11" s="202"/>
      <c r="Y11" s="203"/>
      <c r="Z11" s="202" t="s">
        <v>261</v>
      </c>
      <c r="AA11" s="202"/>
    </row>
    <row r="12" spans="1:27" ht="15.95" customHeight="1">
      <c r="A12" s="157"/>
      <c r="B12" s="172"/>
      <c r="C12" s="174" t="s">
        <v>478</v>
      </c>
      <c r="D12" s="156"/>
      <c r="E12" s="156"/>
      <c r="F12" s="156"/>
      <c r="G12" s="156"/>
      <c r="H12" s="156"/>
      <c r="I12" s="156"/>
      <c r="J12" s="156"/>
      <c r="K12" s="156"/>
      <c r="L12" s="159"/>
      <c r="M12" s="156"/>
      <c r="N12" t="s">
        <v>261</v>
      </c>
      <c r="O12" s="205"/>
      <c r="P12" s="204"/>
      <c r="Q12" s="202"/>
      <c r="R12" s="202"/>
      <c r="S12" s="202"/>
      <c r="T12" s="202"/>
      <c r="U12" s="202"/>
      <c r="V12" s="202"/>
      <c r="W12" s="202"/>
      <c r="X12" s="202"/>
      <c r="Y12" s="203"/>
      <c r="Z12" s="202" t="s">
        <v>261</v>
      </c>
    </row>
    <row r="13" spans="1:27" ht="15.95" customHeight="1">
      <c r="A13" s="157"/>
      <c r="B13" s="172"/>
      <c r="C13" s="174" t="s">
        <v>479</v>
      </c>
      <c r="D13" s="156"/>
      <c r="E13" s="156"/>
      <c r="F13" s="156"/>
      <c r="G13" s="156"/>
      <c r="H13" s="156"/>
      <c r="I13" s="156"/>
      <c r="J13" s="156"/>
      <c r="K13" s="156"/>
      <c r="L13" s="159"/>
      <c r="M13" s="156"/>
      <c r="N13" t="s">
        <v>261</v>
      </c>
      <c r="O13" s="205"/>
      <c r="P13" s="204"/>
      <c r="Q13" s="202" t="str">
        <f>"Dear "&amp;AA13&amp;","</f>
        <v>Dear Sir or Madam,</v>
      </c>
      <c r="R13" s="202"/>
      <c r="S13" s="202"/>
      <c r="T13" s="202"/>
      <c r="U13" s="202"/>
      <c r="V13" s="202"/>
      <c r="W13" s="202"/>
      <c r="X13" s="202"/>
      <c r="Y13" s="203"/>
      <c r="Z13" s="202" t="s">
        <v>261</v>
      </c>
      <c r="AA13" s="211" t="s">
        <v>530</v>
      </c>
    </row>
    <row r="14" spans="1:27" ht="15.95" customHeight="1">
      <c r="A14" s="157"/>
      <c r="B14" s="172"/>
      <c r="C14" s="174"/>
      <c r="D14" s="156"/>
      <c r="E14" s="156"/>
      <c r="F14" s="156"/>
      <c r="G14" s="156"/>
      <c r="H14" s="156"/>
      <c r="I14" s="156"/>
      <c r="J14" s="156"/>
      <c r="K14" s="156"/>
      <c r="L14" s="159"/>
      <c r="M14" s="156"/>
      <c r="N14" t="s">
        <v>261</v>
      </c>
      <c r="O14" s="205"/>
      <c r="P14" s="204"/>
      <c r="Q14" s="202"/>
      <c r="R14" s="202"/>
      <c r="S14" s="202"/>
      <c r="T14" s="202"/>
      <c r="U14" s="202"/>
      <c r="V14" s="202"/>
      <c r="W14" s="202"/>
      <c r="X14" s="202"/>
      <c r="Y14" s="203"/>
      <c r="Z14" s="202" t="s">
        <v>261</v>
      </c>
      <c r="AA14" s="202"/>
    </row>
    <row r="15" spans="1:27" ht="15.95" customHeight="1">
      <c r="A15" s="157"/>
      <c r="B15" s="172" t="s">
        <v>53</v>
      </c>
      <c r="C15" s="174" t="s">
        <v>480</v>
      </c>
      <c r="D15" s="156"/>
      <c r="E15" s="156"/>
      <c r="F15" s="156"/>
      <c r="G15" s="156"/>
      <c r="H15" s="156"/>
      <c r="I15" s="156"/>
      <c r="J15" s="156"/>
      <c r="K15" s="156"/>
      <c r="L15" s="159"/>
      <c r="M15" s="156"/>
      <c r="N15" t="s">
        <v>261</v>
      </c>
      <c r="O15" s="205"/>
      <c r="P15" s="204"/>
      <c r="Q15" s="210" t="str">
        <f>"Application for the position of: "&amp;AA15</f>
        <v>Application for the position of: Frontend Developer (Remote)</v>
      </c>
      <c r="Y15" s="203"/>
      <c r="Z15" s="202" t="s">
        <v>261</v>
      </c>
      <c r="AA15" s="121" t="s">
        <v>529</v>
      </c>
    </row>
    <row r="16" spans="1:27" ht="15.95" customHeight="1">
      <c r="A16" s="157"/>
      <c r="B16" s="172"/>
      <c r="C16" s="174" t="s">
        <v>481</v>
      </c>
      <c r="D16" s="156"/>
      <c r="E16" s="156"/>
      <c r="F16" s="156"/>
      <c r="G16" s="156"/>
      <c r="H16" s="156"/>
      <c r="I16" s="156"/>
      <c r="J16" s="156"/>
      <c r="K16" s="156"/>
      <c r="L16" s="159"/>
      <c r="M16" s="156"/>
      <c r="N16" t="s">
        <v>261</v>
      </c>
      <c r="O16" s="205"/>
      <c r="P16" s="204"/>
      <c r="Y16" s="203"/>
      <c r="Z16" s="202" t="s">
        <v>261</v>
      </c>
      <c r="AA16" s="212" t="s">
        <v>525</v>
      </c>
    </row>
    <row r="17" spans="1:34" ht="15.95" customHeight="1">
      <c r="A17" s="157"/>
      <c r="B17" s="172"/>
      <c r="C17" s="174"/>
      <c r="D17" s="156"/>
      <c r="E17" s="156"/>
      <c r="F17" s="156"/>
      <c r="G17" s="156"/>
      <c r="H17" s="156"/>
      <c r="I17" s="156"/>
      <c r="J17" s="156"/>
      <c r="K17" s="156"/>
      <c r="L17" s="159"/>
      <c r="M17" s="156"/>
      <c r="N17" t="s">
        <v>261</v>
      </c>
      <c r="O17" s="205"/>
      <c r="P17" s="204"/>
      <c r="Q17" s="377" t="s">
        <v>531</v>
      </c>
      <c r="R17" s="377"/>
      <c r="S17" s="377"/>
      <c r="T17" s="377"/>
      <c r="U17" s="377"/>
      <c r="V17" s="377"/>
      <c r="W17" s="377"/>
      <c r="X17" s="377"/>
      <c r="Y17" s="203"/>
      <c r="Z17" s="202" t="s">
        <v>261</v>
      </c>
      <c r="AA17" s="377" t="s">
        <v>523</v>
      </c>
      <c r="AB17" s="377"/>
      <c r="AC17" s="377"/>
      <c r="AD17" s="377"/>
      <c r="AE17" s="377"/>
      <c r="AF17" s="377"/>
      <c r="AG17" s="377"/>
      <c r="AH17" s="377"/>
    </row>
    <row r="18" spans="1:34" ht="15.95" customHeight="1">
      <c r="A18" s="157"/>
      <c r="B18" s="172" t="s">
        <v>482</v>
      </c>
      <c r="C18" s="177" t="s">
        <v>536</v>
      </c>
      <c r="D18" s="156"/>
      <c r="E18" s="156"/>
      <c r="F18" s="156"/>
      <c r="G18" s="156"/>
      <c r="H18" s="165" t="s">
        <v>484</v>
      </c>
      <c r="I18" s="156"/>
      <c r="J18" s="156"/>
      <c r="K18" s="156"/>
      <c r="L18" s="159"/>
      <c r="M18" s="156"/>
      <c r="N18" t="s">
        <v>261</v>
      </c>
      <c r="O18" s="205"/>
      <c r="P18" s="204"/>
      <c r="Q18" s="377"/>
      <c r="R18" s="377"/>
      <c r="S18" s="377"/>
      <c r="T18" s="377"/>
      <c r="U18" s="377"/>
      <c r="V18" s="377"/>
      <c r="W18" s="377"/>
      <c r="X18" s="377"/>
      <c r="Y18" s="203"/>
      <c r="Z18" s="202" t="s">
        <v>261</v>
      </c>
      <c r="AA18" s="377"/>
      <c r="AB18" s="377"/>
      <c r="AC18" s="377"/>
      <c r="AD18" s="377"/>
      <c r="AE18" s="377"/>
      <c r="AF18" s="377"/>
      <c r="AG18" s="377"/>
      <c r="AH18" s="377"/>
    </row>
    <row r="19" spans="1:34" ht="15.95" customHeight="1">
      <c r="A19" s="157"/>
      <c r="B19" s="172"/>
      <c r="C19" s="177" t="s">
        <v>485</v>
      </c>
      <c r="D19" s="156"/>
      <c r="E19" s="156"/>
      <c r="F19" s="156"/>
      <c r="G19" s="156"/>
      <c r="H19" s="165" t="s">
        <v>486</v>
      </c>
      <c r="I19" s="161"/>
      <c r="J19" s="161"/>
      <c r="K19" s="161"/>
      <c r="L19" s="159"/>
      <c r="M19" s="156"/>
      <c r="N19" t="s">
        <v>261</v>
      </c>
      <c r="O19" s="205"/>
      <c r="P19" s="204"/>
      <c r="Q19" s="377"/>
      <c r="R19" s="377"/>
      <c r="S19" s="377"/>
      <c r="T19" s="377"/>
      <c r="U19" s="377"/>
      <c r="V19" s="377"/>
      <c r="W19" s="377"/>
      <c r="X19" s="377"/>
      <c r="Y19" s="203"/>
      <c r="Z19" s="202" t="s">
        <v>261</v>
      </c>
      <c r="AA19" s="377"/>
      <c r="AB19" s="377"/>
      <c r="AC19" s="377"/>
      <c r="AD19" s="377"/>
      <c r="AE19" s="377"/>
      <c r="AF19" s="377"/>
      <c r="AG19" s="377"/>
      <c r="AH19" s="377"/>
    </row>
    <row r="20" spans="1:34" ht="15.95" customHeight="1">
      <c r="A20" s="157"/>
      <c r="B20" s="172"/>
      <c r="C20" s="177" t="s">
        <v>381</v>
      </c>
      <c r="D20" s="156"/>
      <c r="E20" s="156"/>
      <c r="F20" s="156"/>
      <c r="G20" s="156"/>
      <c r="H20" s="165" t="s">
        <v>487</v>
      </c>
      <c r="I20" s="161"/>
      <c r="J20" s="161"/>
      <c r="K20" s="161"/>
      <c r="L20" s="159"/>
      <c r="M20" s="156"/>
      <c r="N20" t="s">
        <v>261</v>
      </c>
      <c r="O20" s="205"/>
      <c r="P20" s="204"/>
      <c r="Q20" s="377"/>
      <c r="R20" s="377"/>
      <c r="S20" s="377"/>
      <c r="T20" s="377"/>
      <c r="U20" s="377"/>
      <c r="V20" s="377"/>
      <c r="W20" s="377"/>
      <c r="X20" s="377"/>
      <c r="Y20" s="203"/>
      <c r="Z20" s="202" t="s">
        <v>261</v>
      </c>
      <c r="AA20" s="377"/>
      <c r="AB20" s="377"/>
      <c r="AC20" s="377"/>
      <c r="AD20" s="377"/>
      <c r="AE20" s="377"/>
      <c r="AF20" s="377"/>
      <c r="AG20" s="377"/>
      <c r="AH20" s="377"/>
    </row>
    <row r="21" spans="1:34" ht="15.95" customHeight="1">
      <c r="A21" s="157"/>
      <c r="B21" s="172"/>
      <c r="C21" s="177" t="s">
        <v>354</v>
      </c>
      <c r="D21" s="156"/>
      <c r="E21" s="156"/>
      <c r="F21" s="156"/>
      <c r="G21" s="156"/>
      <c r="H21" s="165" t="s">
        <v>488</v>
      </c>
      <c r="I21" s="161"/>
      <c r="J21" s="161"/>
      <c r="K21" s="161"/>
      <c r="L21" s="159"/>
      <c r="M21" s="156"/>
      <c r="N21" t="s">
        <v>261</v>
      </c>
      <c r="O21" s="205"/>
      <c r="P21" s="204"/>
      <c r="Q21" s="377"/>
      <c r="R21" s="377"/>
      <c r="S21" s="377"/>
      <c r="T21" s="377"/>
      <c r="U21" s="377"/>
      <c r="V21" s="377"/>
      <c r="W21" s="377"/>
      <c r="X21" s="377"/>
      <c r="Y21" s="203"/>
      <c r="Z21" s="202" t="s">
        <v>261</v>
      </c>
      <c r="AA21" s="377"/>
      <c r="AB21" s="377"/>
      <c r="AC21" s="377"/>
      <c r="AD21" s="377"/>
      <c r="AE21" s="377"/>
      <c r="AF21" s="377"/>
      <c r="AG21" s="377"/>
      <c r="AH21" s="377"/>
    </row>
    <row r="22" spans="1:34" ht="15.95" customHeight="1">
      <c r="A22" s="157"/>
      <c r="B22" s="172"/>
      <c r="C22" s="177" t="s">
        <v>489</v>
      </c>
      <c r="D22" s="156"/>
      <c r="E22" s="156"/>
      <c r="F22" s="156"/>
      <c r="G22" s="156"/>
      <c r="H22" s="165" t="s">
        <v>490</v>
      </c>
      <c r="I22" s="161"/>
      <c r="J22" s="161"/>
      <c r="K22" s="161"/>
      <c r="L22" s="159"/>
      <c r="M22" s="156"/>
      <c r="N22" t="s">
        <v>261</v>
      </c>
      <c r="O22" s="205"/>
      <c r="P22" s="204"/>
      <c r="Q22" s="377"/>
      <c r="R22" s="377"/>
      <c r="S22" s="377"/>
      <c r="T22" s="377"/>
      <c r="U22" s="377"/>
      <c r="V22" s="377"/>
      <c r="W22" s="377"/>
      <c r="X22" s="377"/>
      <c r="Y22" s="203"/>
      <c r="Z22" s="202" t="s">
        <v>261</v>
      </c>
      <c r="AA22" s="377"/>
      <c r="AB22" s="377"/>
      <c r="AC22" s="377"/>
      <c r="AD22" s="377"/>
      <c r="AE22" s="377"/>
      <c r="AF22" s="377"/>
      <c r="AG22" s="377"/>
      <c r="AH22" s="377"/>
    </row>
    <row r="23" spans="1:34" ht="15.95" customHeight="1">
      <c r="A23" s="157"/>
      <c r="B23" s="172"/>
      <c r="C23" s="177" t="s">
        <v>356</v>
      </c>
      <c r="D23" s="156"/>
      <c r="E23" s="156"/>
      <c r="F23" s="156"/>
      <c r="G23" s="156"/>
      <c r="H23" s="165" t="s">
        <v>491</v>
      </c>
      <c r="I23" s="161"/>
      <c r="J23" s="161"/>
      <c r="K23" s="161"/>
      <c r="L23" s="159"/>
      <c r="M23" s="156"/>
      <c r="N23" t="s">
        <v>261</v>
      </c>
      <c r="O23" s="205"/>
      <c r="P23" s="204"/>
      <c r="Q23" s="377"/>
      <c r="R23" s="377"/>
      <c r="S23" s="377"/>
      <c r="T23" s="377"/>
      <c r="U23" s="377"/>
      <c r="V23" s="377"/>
      <c r="W23" s="377"/>
      <c r="X23" s="377"/>
      <c r="Y23" s="203"/>
      <c r="Z23" s="202" t="s">
        <v>261</v>
      </c>
      <c r="AA23" s="377"/>
      <c r="AB23" s="377"/>
      <c r="AC23" s="377"/>
      <c r="AD23" s="377"/>
      <c r="AE23" s="377"/>
      <c r="AF23" s="377"/>
      <c r="AG23" s="377"/>
      <c r="AH23" s="377"/>
    </row>
    <row r="24" spans="1:34" ht="15.95" customHeight="1">
      <c r="A24" s="157"/>
      <c r="B24" s="172"/>
      <c r="C24" s="177" t="s">
        <v>284</v>
      </c>
      <c r="D24" s="156"/>
      <c r="E24" s="156"/>
      <c r="F24" s="156"/>
      <c r="G24" s="156"/>
      <c r="H24" s="165" t="s">
        <v>492</v>
      </c>
      <c r="I24" s="161"/>
      <c r="J24" s="161"/>
      <c r="K24" s="161"/>
      <c r="L24" s="159"/>
      <c r="M24" s="156"/>
      <c r="N24" t="s">
        <v>261</v>
      </c>
      <c r="O24" s="205"/>
      <c r="P24" s="204"/>
      <c r="Q24" s="377"/>
      <c r="R24" s="377"/>
      <c r="S24" s="377"/>
      <c r="T24" s="377"/>
      <c r="U24" s="377"/>
      <c r="V24" s="377"/>
      <c r="W24" s="377"/>
      <c r="X24" s="377"/>
      <c r="Y24" s="203"/>
      <c r="Z24" s="202" t="s">
        <v>261</v>
      </c>
      <c r="AA24" s="377"/>
      <c r="AB24" s="377"/>
      <c r="AC24" s="377"/>
      <c r="AD24" s="377"/>
      <c r="AE24" s="377"/>
      <c r="AF24" s="377"/>
      <c r="AG24" s="377"/>
      <c r="AH24" s="377"/>
    </row>
    <row r="25" spans="1:34" ht="15.95" customHeight="1">
      <c r="A25" s="157"/>
      <c r="B25" s="172"/>
      <c r="C25" s="177" t="s">
        <v>359</v>
      </c>
      <c r="D25" s="156"/>
      <c r="E25" s="156"/>
      <c r="F25" s="156"/>
      <c r="G25" s="156"/>
      <c r="H25" s="165" t="s">
        <v>493</v>
      </c>
      <c r="I25" s="161"/>
      <c r="J25" s="161"/>
      <c r="K25" s="161"/>
      <c r="L25" s="159"/>
      <c r="M25" s="156"/>
      <c r="N25" t="s">
        <v>261</v>
      </c>
      <c r="O25" s="205"/>
      <c r="P25" s="204"/>
      <c r="Q25" s="377"/>
      <c r="R25" s="377"/>
      <c r="S25" s="377"/>
      <c r="T25" s="377"/>
      <c r="U25" s="377"/>
      <c r="V25" s="377"/>
      <c r="W25" s="377"/>
      <c r="X25" s="377"/>
      <c r="Y25" s="203"/>
      <c r="Z25" s="202" t="s">
        <v>261</v>
      </c>
      <c r="AA25" s="377"/>
      <c r="AB25" s="377"/>
      <c r="AC25" s="377"/>
      <c r="AD25" s="377"/>
      <c r="AE25" s="377"/>
      <c r="AF25" s="377"/>
      <c r="AG25" s="377"/>
      <c r="AH25" s="377"/>
    </row>
    <row r="26" spans="1:34" ht="15.95" customHeight="1">
      <c r="A26" s="157"/>
      <c r="B26" s="172"/>
      <c r="C26" s="177" t="s">
        <v>76</v>
      </c>
      <c r="D26" s="156"/>
      <c r="E26" s="156"/>
      <c r="F26" s="156"/>
      <c r="G26" s="156"/>
      <c r="H26" s="165" t="s">
        <v>494</v>
      </c>
      <c r="I26" s="161"/>
      <c r="J26" s="161"/>
      <c r="K26" s="161"/>
      <c r="L26" s="159"/>
      <c r="M26" s="156"/>
      <c r="N26" t="s">
        <v>261</v>
      </c>
      <c r="O26" s="205"/>
      <c r="P26" s="204"/>
      <c r="Q26" s="377"/>
      <c r="R26" s="377"/>
      <c r="S26" s="377"/>
      <c r="T26" s="377"/>
      <c r="U26" s="377"/>
      <c r="V26" s="377"/>
      <c r="W26" s="377"/>
      <c r="X26" s="377"/>
      <c r="Y26" s="203"/>
      <c r="Z26" s="202" t="s">
        <v>261</v>
      </c>
      <c r="AA26" s="377"/>
      <c r="AB26" s="377"/>
      <c r="AC26" s="377"/>
      <c r="AD26" s="377"/>
      <c r="AE26" s="377"/>
      <c r="AF26" s="377"/>
      <c r="AG26" s="377"/>
      <c r="AH26" s="377"/>
    </row>
    <row r="27" spans="1:34" ht="15.95" customHeight="1">
      <c r="A27" s="157"/>
      <c r="B27" s="172"/>
      <c r="C27" s="177" t="s">
        <v>387</v>
      </c>
      <c r="D27" s="156"/>
      <c r="E27" s="156"/>
      <c r="F27" s="156"/>
      <c r="G27" s="156"/>
      <c r="H27" s="165" t="s">
        <v>495</v>
      </c>
      <c r="I27" s="161"/>
      <c r="J27" s="161"/>
      <c r="K27" s="161"/>
      <c r="L27" s="159"/>
      <c r="M27" s="156"/>
      <c r="N27" t="s">
        <v>261</v>
      </c>
      <c r="O27" s="205"/>
      <c r="P27" s="204"/>
      <c r="Q27" s="377"/>
      <c r="R27" s="377"/>
      <c r="S27" s="377"/>
      <c r="T27" s="377"/>
      <c r="U27" s="377"/>
      <c r="V27" s="377"/>
      <c r="W27" s="377"/>
      <c r="X27" s="377"/>
      <c r="Y27" s="203"/>
      <c r="Z27" s="202" t="s">
        <v>261</v>
      </c>
      <c r="AA27" s="377"/>
      <c r="AB27" s="377"/>
      <c r="AC27" s="377"/>
      <c r="AD27" s="377"/>
      <c r="AE27" s="377"/>
      <c r="AF27" s="377"/>
      <c r="AG27" s="377"/>
      <c r="AH27" s="377"/>
    </row>
    <row r="28" spans="1:34" ht="15.95" customHeight="1">
      <c r="A28" s="157"/>
      <c r="B28" s="172"/>
      <c r="C28" s="178"/>
      <c r="D28" s="156"/>
      <c r="E28" s="156"/>
      <c r="F28" s="156"/>
      <c r="G28" s="156"/>
      <c r="H28" s="156"/>
      <c r="I28" s="156"/>
      <c r="J28" s="156"/>
      <c r="K28" s="156"/>
      <c r="L28" s="159"/>
      <c r="M28" s="156"/>
      <c r="N28" t="s">
        <v>261</v>
      </c>
      <c r="O28" s="205"/>
      <c r="P28" s="204"/>
      <c r="Q28" s="377"/>
      <c r="R28" s="377"/>
      <c r="S28" s="377"/>
      <c r="T28" s="377"/>
      <c r="U28" s="377"/>
      <c r="V28" s="377"/>
      <c r="W28" s="377"/>
      <c r="X28" s="377"/>
      <c r="Y28" s="203"/>
      <c r="Z28" s="202" t="s">
        <v>261</v>
      </c>
      <c r="AA28" s="377"/>
      <c r="AB28" s="377"/>
      <c r="AC28" s="377"/>
      <c r="AD28" s="377"/>
      <c r="AE28" s="377"/>
      <c r="AF28" s="377"/>
      <c r="AG28" s="377"/>
      <c r="AH28" s="377"/>
    </row>
    <row r="29" spans="1:34" ht="15.95" customHeight="1">
      <c r="A29" s="157"/>
      <c r="B29" s="172" t="s">
        <v>496</v>
      </c>
      <c r="C29" s="164" t="s">
        <v>497</v>
      </c>
      <c r="D29" s="156"/>
      <c r="E29" s="156"/>
      <c r="F29" s="156"/>
      <c r="G29" s="156"/>
      <c r="H29" s="156"/>
      <c r="I29" s="156"/>
      <c r="J29" s="156"/>
      <c r="K29" s="156"/>
      <c r="L29" s="159"/>
      <c r="M29" s="156"/>
      <c r="N29" t="s">
        <v>261</v>
      </c>
      <c r="O29" s="205"/>
      <c r="P29" s="204"/>
      <c r="Q29" s="377"/>
      <c r="R29" s="377"/>
      <c r="S29" s="377"/>
      <c r="T29" s="377"/>
      <c r="U29" s="377"/>
      <c r="V29" s="377"/>
      <c r="W29" s="377"/>
      <c r="X29" s="377"/>
      <c r="Y29" s="203"/>
      <c r="Z29" s="202" t="s">
        <v>261</v>
      </c>
      <c r="AA29" s="377"/>
      <c r="AB29" s="377"/>
      <c r="AC29" s="377"/>
      <c r="AD29" s="377"/>
      <c r="AE29" s="377"/>
      <c r="AF29" s="377"/>
      <c r="AG29" s="377"/>
      <c r="AH29" s="377"/>
    </row>
    <row r="30" spans="1:34" ht="15.95" customHeight="1">
      <c r="A30" s="157"/>
      <c r="B30" s="172"/>
      <c r="C30" s="181" t="s">
        <v>498</v>
      </c>
      <c r="D30" s="184" t="s">
        <v>499</v>
      </c>
      <c r="F30" s="165" t="s">
        <v>500</v>
      </c>
      <c r="G30" s="156"/>
      <c r="H30" s="156"/>
      <c r="I30" s="156"/>
      <c r="J30" s="156"/>
      <c r="K30" s="156"/>
      <c r="L30" s="159"/>
      <c r="M30" s="156"/>
      <c r="N30" t="s">
        <v>261</v>
      </c>
      <c r="O30" s="205"/>
      <c r="P30" s="204"/>
      <c r="Q30" s="377"/>
      <c r="R30" s="377"/>
      <c r="S30" s="377"/>
      <c r="T30" s="377"/>
      <c r="U30" s="377"/>
      <c r="V30" s="377"/>
      <c r="W30" s="377"/>
      <c r="X30" s="377"/>
      <c r="Y30" s="203"/>
      <c r="Z30" s="202" t="s">
        <v>261</v>
      </c>
      <c r="AA30" s="377"/>
      <c r="AB30" s="377"/>
      <c r="AC30" s="377"/>
      <c r="AD30" s="377"/>
      <c r="AE30" s="377"/>
      <c r="AF30" s="377"/>
      <c r="AG30" s="377"/>
      <c r="AH30" s="377"/>
    </row>
    <row r="31" spans="1:34" ht="15.95" customHeight="1">
      <c r="A31" s="157"/>
      <c r="B31" s="172"/>
      <c r="C31" s="181"/>
      <c r="D31" s="166"/>
      <c r="F31" s="165" t="s">
        <v>501</v>
      </c>
      <c r="G31" s="156"/>
      <c r="H31" s="156"/>
      <c r="I31" s="156"/>
      <c r="J31" s="156"/>
      <c r="K31" s="156"/>
      <c r="L31" s="159"/>
      <c r="M31" s="156"/>
      <c r="N31" t="s">
        <v>261</v>
      </c>
      <c r="O31" s="205"/>
      <c r="P31" s="204"/>
      <c r="Q31" s="377"/>
      <c r="R31" s="377"/>
      <c r="S31" s="377"/>
      <c r="T31" s="377"/>
      <c r="U31" s="377"/>
      <c r="V31" s="377"/>
      <c r="W31" s="377"/>
      <c r="X31" s="377"/>
      <c r="Y31" s="203"/>
      <c r="Z31" s="202" t="s">
        <v>261</v>
      </c>
      <c r="AA31" s="377"/>
      <c r="AB31" s="377"/>
      <c r="AC31" s="377"/>
      <c r="AD31" s="377"/>
      <c r="AE31" s="377"/>
      <c r="AF31" s="377"/>
      <c r="AG31" s="377"/>
      <c r="AH31" s="377"/>
    </row>
    <row r="32" spans="1:34" ht="15.95" customHeight="1">
      <c r="A32" s="157"/>
      <c r="B32" s="172"/>
      <c r="C32" s="181" t="s">
        <v>502</v>
      </c>
      <c r="D32" s="184" t="s">
        <v>503</v>
      </c>
      <c r="F32" s="165" t="s">
        <v>504</v>
      </c>
      <c r="G32" s="156"/>
      <c r="H32" s="156"/>
      <c r="I32" s="156"/>
      <c r="J32" s="156"/>
      <c r="K32" s="156"/>
      <c r="L32" s="159"/>
      <c r="M32" s="156"/>
      <c r="N32" t="s">
        <v>261</v>
      </c>
      <c r="O32" s="205"/>
      <c r="P32" s="204"/>
      <c r="Q32" s="377"/>
      <c r="R32" s="377"/>
      <c r="S32" s="377"/>
      <c r="T32" s="377"/>
      <c r="U32" s="377"/>
      <c r="V32" s="377"/>
      <c r="W32" s="377"/>
      <c r="X32" s="377"/>
      <c r="Y32" s="203"/>
      <c r="Z32" s="202" t="s">
        <v>261</v>
      </c>
      <c r="AA32" s="377"/>
      <c r="AB32" s="377"/>
      <c r="AC32" s="377"/>
      <c r="AD32" s="377"/>
      <c r="AE32" s="377"/>
      <c r="AF32" s="377"/>
      <c r="AG32" s="377"/>
      <c r="AH32" s="377"/>
    </row>
    <row r="33" spans="1:34" ht="15.95" customHeight="1">
      <c r="A33" s="157"/>
      <c r="B33" s="172"/>
      <c r="C33" s="181" t="s">
        <v>505</v>
      </c>
      <c r="D33" s="184" t="s">
        <v>429</v>
      </c>
      <c r="F33" s="165" t="s">
        <v>506</v>
      </c>
      <c r="G33" s="156"/>
      <c r="H33" s="156"/>
      <c r="I33" s="156"/>
      <c r="J33" s="156"/>
      <c r="K33" s="156"/>
      <c r="L33" s="159"/>
      <c r="M33" s="156"/>
      <c r="N33" t="s">
        <v>261</v>
      </c>
      <c r="O33" s="205"/>
      <c r="P33" s="204"/>
      <c r="Q33" s="377"/>
      <c r="R33" s="377"/>
      <c r="S33" s="377"/>
      <c r="T33" s="377"/>
      <c r="U33" s="377"/>
      <c r="V33" s="377"/>
      <c r="W33" s="377"/>
      <c r="X33" s="377"/>
      <c r="Y33" s="203"/>
      <c r="Z33" s="202" t="s">
        <v>261</v>
      </c>
      <c r="AA33" s="377"/>
      <c r="AB33" s="377"/>
      <c r="AC33" s="377"/>
      <c r="AD33" s="377"/>
      <c r="AE33" s="377"/>
      <c r="AF33" s="377"/>
      <c r="AG33" s="377"/>
      <c r="AH33" s="377"/>
    </row>
    <row r="34" spans="1:34" ht="15.95" customHeight="1">
      <c r="A34" s="157"/>
      <c r="B34" s="172"/>
      <c r="C34" s="181"/>
      <c r="D34" s="166"/>
      <c r="E34" s="162"/>
      <c r="F34" s="165" t="s">
        <v>507</v>
      </c>
      <c r="G34" s="156"/>
      <c r="H34" s="156"/>
      <c r="I34" s="156"/>
      <c r="J34" s="156"/>
      <c r="K34" s="156"/>
      <c r="L34" s="159"/>
      <c r="M34" s="156"/>
      <c r="N34" t="s">
        <v>261</v>
      </c>
      <c r="O34" s="205"/>
      <c r="P34" s="204"/>
      <c r="Q34" s="377"/>
      <c r="R34" s="377"/>
      <c r="S34" s="377"/>
      <c r="T34" s="377"/>
      <c r="U34" s="377"/>
      <c r="V34" s="377"/>
      <c r="W34" s="377"/>
      <c r="X34" s="377"/>
      <c r="Y34" s="203"/>
      <c r="Z34" s="202" t="s">
        <v>261</v>
      </c>
      <c r="AA34" s="377"/>
      <c r="AB34" s="377"/>
      <c r="AC34" s="377"/>
      <c r="AD34" s="377"/>
      <c r="AE34" s="377"/>
      <c r="AF34" s="377"/>
      <c r="AG34" s="377"/>
      <c r="AH34" s="377"/>
    </row>
    <row r="35" spans="1:34" ht="15.95" customHeight="1">
      <c r="A35" s="157"/>
      <c r="B35" s="172"/>
      <c r="C35" s="181"/>
      <c r="D35" s="166"/>
      <c r="G35" s="156"/>
      <c r="H35" s="156"/>
      <c r="I35" s="156"/>
      <c r="J35" s="156"/>
      <c r="K35" s="156"/>
      <c r="L35" s="159"/>
      <c r="M35" s="156"/>
      <c r="N35" t="s">
        <v>261</v>
      </c>
      <c r="O35" s="205"/>
      <c r="P35" s="204"/>
      <c r="Q35" s="377"/>
      <c r="R35" s="377"/>
      <c r="S35" s="377"/>
      <c r="T35" s="377"/>
      <c r="U35" s="377"/>
      <c r="V35" s="377"/>
      <c r="W35" s="377"/>
      <c r="X35" s="377"/>
      <c r="Y35" s="203"/>
      <c r="Z35" s="202" t="s">
        <v>261</v>
      </c>
      <c r="AA35" s="377"/>
      <c r="AB35" s="377"/>
      <c r="AC35" s="377"/>
      <c r="AD35" s="377"/>
      <c r="AE35" s="377"/>
      <c r="AF35" s="377"/>
      <c r="AG35" s="377"/>
      <c r="AH35" s="377"/>
    </row>
    <row r="36" spans="1:34" ht="15.95" customHeight="1">
      <c r="A36" s="157"/>
      <c r="B36" s="172"/>
      <c r="C36" s="164" t="s">
        <v>508</v>
      </c>
      <c r="D36" s="162"/>
      <c r="E36" s="156"/>
      <c r="F36" s="156"/>
      <c r="G36" s="156"/>
      <c r="H36" s="156"/>
      <c r="I36" s="156"/>
      <c r="J36" s="156"/>
      <c r="K36" s="156"/>
      <c r="L36" s="159"/>
      <c r="M36" s="156"/>
      <c r="N36" t="s">
        <v>261</v>
      </c>
      <c r="O36" s="205"/>
      <c r="P36" s="204"/>
      <c r="Q36" s="377"/>
      <c r="R36" s="377"/>
      <c r="S36" s="377"/>
      <c r="T36" s="377"/>
      <c r="U36" s="377"/>
      <c r="V36" s="377"/>
      <c r="W36" s="377"/>
      <c r="X36" s="377"/>
      <c r="Y36" s="203"/>
      <c r="Z36" s="202" t="s">
        <v>261</v>
      </c>
      <c r="AA36" s="377"/>
      <c r="AB36" s="377"/>
      <c r="AC36" s="377"/>
      <c r="AD36" s="377"/>
      <c r="AE36" s="377"/>
      <c r="AF36" s="377"/>
      <c r="AG36" s="377"/>
      <c r="AH36" s="377"/>
    </row>
    <row r="37" spans="1:34" ht="15.95" customHeight="1">
      <c r="A37" s="157"/>
      <c r="B37" s="172"/>
      <c r="C37" s="166" t="s">
        <v>429</v>
      </c>
      <c r="E37" s="165" t="s">
        <v>509</v>
      </c>
      <c r="G37" s="156"/>
      <c r="H37" s="156"/>
      <c r="I37" s="156"/>
      <c r="J37" s="156"/>
      <c r="K37" s="156"/>
      <c r="L37" s="159"/>
      <c r="M37" s="156"/>
      <c r="N37" t="s">
        <v>261</v>
      </c>
      <c r="O37" s="205"/>
      <c r="P37" s="204"/>
      <c r="Q37" s="377"/>
      <c r="R37" s="377"/>
      <c r="S37" s="377"/>
      <c r="T37" s="377"/>
      <c r="U37" s="377"/>
      <c r="V37" s="377"/>
      <c r="W37" s="377"/>
      <c r="X37" s="377"/>
      <c r="Y37" s="203"/>
      <c r="Z37" s="202" t="s">
        <v>261</v>
      </c>
      <c r="AA37" s="377"/>
      <c r="AB37" s="377"/>
      <c r="AC37" s="377"/>
      <c r="AD37" s="377"/>
      <c r="AE37" s="377"/>
      <c r="AF37" s="377"/>
      <c r="AG37" s="377"/>
      <c r="AH37" s="377"/>
    </row>
    <row r="38" spans="1:34" ht="15.95" customHeight="1">
      <c r="A38" s="157"/>
      <c r="B38" s="172"/>
      <c r="D38" s="163"/>
      <c r="E38" s="165" t="s">
        <v>510</v>
      </c>
      <c r="G38" s="156"/>
      <c r="H38" s="156"/>
      <c r="I38" s="156"/>
      <c r="J38" s="156"/>
      <c r="K38" s="156"/>
      <c r="L38" s="159"/>
      <c r="M38" s="156"/>
      <c r="N38" t="s">
        <v>261</v>
      </c>
      <c r="O38" s="205"/>
      <c r="P38" s="204"/>
      <c r="Q38" s="377"/>
      <c r="R38" s="377"/>
      <c r="S38" s="377"/>
      <c r="T38" s="377"/>
      <c r="U38" s="377"/>
      <c r="V38" s="377"/>
      <c r="W38" s="377"/>
      <c r="X38" s="377"/>
      <c r="Y38" s="203"/>
      <c r="Z38" s="202" t="s">
        <v>261</v>
      </c>
      <c r="AA38" s="377"/>
      <c r="AB38" s="377"/>
      <c r="AC38" s="377"/>
      <c r="AD38" s="377"/>
      <c r="AE38" s="377"/>
      <c r="AF38" s="377"/>
      <c r="AG38" s="377"/>
      <c r="AH38" s="377"/>
    </row>
    <row r="39" spans="1:34" ht="15.95" customHeight="1">
      <c r="A39" s="157"/>
      <c r="B39" s="172"/>
      <c r="D39" s="163"/>
      <c r="E39" s="165" t="s">
        <v>511</v>
      </c>
      <c r="G39" s="156"/>
      <c r="H39" s="156"/>
      <c r="I39" s="156"/>
      <c r="J39" s="156"/>
      <c r="K39" s="156"/>
      <c r="L39" s="159"/>
      <c r="M39" s="156"/>
      <c r="N39" t="s">
        <v>261</v>
      </c>
      <c r="O39" s="205"/>
      <c r="P39" s="204"/>
      <c r="Q39" s="377"/>
      <c r="R39" s="377"/>
      <c r="S39" s="377"/>
      <c r="T39" s="377"/>
      <c r="U39" s="377"/>
      <c r="V39" s="377"/>
      <c r="W39" s="377"/>
      <c r="X39" s="377"/>
      <c r="Y39" s="203"/>
      <c r="Z39" s="202" t="s">
        <v>261</v>
      </c>
      <c r="AA39" s="377"/>
      <c r="AB39" s="377"/>
      <c r="AC39" s="377"/>
      <c r="AD39" s="377"/>
      <c r="AE39" s="377"/>
      <c r="AF39" s="377"/>
      <c r="AG39" s="377"/>
      <c r="AH39" s="377"/>
    </row>
    <row r="40" spans="1:34" ht="15.95" customHeight="1">
      <c r="A40" s="157"/>
      <c r="B40" s="172"/>
      <c r="C40" s="156"/>
      <c r="D40" s="162"/>
      <c r="E40" s="165" t="s">
        <v>512</v>
      </c>
      <c r="G40" s="156"/>
      <c r="H40" s="156"/>
      <c r="I40" s="156"/>
      <c r="J40" s="156"/>
      <c r="K40" s="156"/>
      <c r="L40" s="159"/>
      <c r="M40" s="156"/>
      <c r="N40" t="s">
        <v>261</v>
      </c>
      <c r="O40" s="205"/>
      <c r="P40" s="204"/>
      <c r="Q40" s="377"/>
      <c r="R40" s="377"/>
      <c r="S40" s="377"/>
      <c r="T40" s="377"/>
      <c r="U40" s="377"/>
      <c r="V40" s="377"/>
      <c r="W40" s="377"/>
      <c r="X40" s="377"/>
      <c r="Y40" s="203"/>
      <c r="Z40" s="202" t="s">
        <v>261</v>
      </c>
      <c r="AA40" s="377"/>
      <c r="AB40" s="377"/>
      <c r="AC40" s="377"/>
      <c r="AD40" s="377"/>
      <c r="AE40" s="377"/>
      <c r="AF40" s="377"/>
      <c r="AG40" s="377"/>
      <c r="AH40" s="377"/>
    </row>
    <row r="41" spans="1:34" ht="15.95" customHeight="1">
      <c r="A41" s="157"/>
      <c r="B41" s="172"/>
      <c r="C41" s="156"/>
      <c r="D41" s="162"/>
      <c r="E41" s="165" t="s">
        <v>513</v>
      </c>
      <c r="F41" s="161"/>
      <c r="G41" s="156"/>
      <c r="H41" s="156"/>
      <c r="I41" s="156"/>
      <c r="J41" s="156"/>
      <c r="K41" s="156"/>
      <c r="L41" s="159"/>
      <c r="M41" s="156"/>
      <c r="N41" t="s">
        <v>261</v>
      </c>
      <c r="O41" s="205"/>
      <c r="P41" s="204"/>
      <c r="Q41" s="377"/>
      <c r="R41" s="377"/>
      <c r="S41" s="377"/>
      <c r="T41" s="377"/>
      <c r="U41" s="377"/>
      <c r="V41" s="377"/>
      <c r="W41" s="377"/>
      <c r="X41" s="377"/>
      <c r="Y41" s="203"/>
      <c r="Z41" s="202" t="s">
        <v>261</v>
      </c>
      <c r="AA41" s="377"/>
      <c r="AB41" s="377"/>
      <c r="AC41" s="377"/>
      <c r="AD41" s="377"/>
      <c r="AE41" s="377"/>
      <c r="AF41" s="377"/>
      <c r="AG41" s="377"/>
      <c r="AH41" s="377"/>
    </row>
    <row r="42" spans="1:34" ht="15.95" customHeight="1">
      <c r="A42" s="157"/>
      <c r="B42" s="172"/>
      <c r="C42" s="175"/>
      <c r="D42" s="162"/>
      <c r="E42" s="165"/>
      <c r="F42" s="161"/>
      <c r="G42" s="156"/>
      <c r="H42" s="156"/>
      <c r="I42" s="156"/>
      <c r="J42" s="156"/>
      <c r="K42" s="156"/>
      <c r="L42" s="159"/>
      <c r="M42" s="156"/>
      <c r="N42" t="s">
        <v>261</v>
      </c>
      <c r="O42" s="205"/>
      <c r="P42" s="204"/>
      <c r="Q42" s="377"/>
      <c r="R42" s="377"/>
      <c r="S42" s="377"/>
      <c r="T42" s="377"/>
      <c r="U42" s="377"/>
      <c r="V42" s="377"/>
      <c r="W42" s="377"/>
      <c r="X42" s="377"/>
      <c r="Y42" s="203"/>
      <c r="Z42" s="202" t="s">
        <v>261</v>
      </c>
      <c r="AA42" s="377"/>
      <c r="AB42" s="377"/>
      <c r="AC42" s="377"/>
      <c r="AD42" s="377"/>
      <c r="AE42" s="377"/>
      <c r="AF42" s="377"/>
      <c r="AG42" s="377"/>
      <c r="AH42" s="377"/>
    </row>
    <row r="43" spans="1:34" ht="15.95" customHeight="1">
      <c r="A43" s="157"/>
      <c r="B43" s="172" t="s">
        <v>388</v>
      </c>
      <c r="C43" s="167" t="s">
        <v>187</v>
      </c>
      <c r="D43" s="156"/>
      <c r="E43" s="156"/>
      <c r="G43" s="156"/>
      <c r="H43" s="156"/>
      <c r="I43" s="156"/>
      <c r="J43" s="156"/>
      <c r="K43" s="156"/>
      <c r="L43" s="159"/>
      <c r="M43" s="156"/>
      <c r="N43" t="s">
        <v>261</v>
      </c>
      <c r="O43" s="205"/>
      <c r="P43" s="204"/>
      <c r="Q43" s="378"/>
      <c r="R43" s="378"/>
      <c r="S43" s="378"/>
      <c r="T43" s="378"/>
      <c r="U43" s="378"/>
      <c r="V43" s="378"/>
      <c r="W43" s="378"/>
      <c r="X43" s="378"/>
      <c r="Y43" s="203"/>
      <c r="Z43" s="202" t="s">
        <v>261</v>
      </c>
      <c r="AA43" s="202"/>
    </row>
    <row r="44" spans="1:34" ht="15.95" customHeight="1">
      <c r="A44" s="157"/>
      <c r="B44" s="172"/>
      <c r="C44" s="167" t="s">
        <v>331</v>
      </c>
      <c r="D44" s="156"/>
      <c r="E44" s="156"/>
      <c r="F44" s="161"/>
      <c r="G44" s="156"/>
      <c r="H44" s="156"/>
      <c r="I44" s="156"/>
      <c r="J44" s="156"/>
      <c r="K44" s="156"/>
      <c r="L44" s="159"/>
      <c r="M44" s="156"/>
      <c r="N44" t="s">
        <v>261</v>
      </c>
      <c r="O44" s="205"/>
      <c r="P44" s="204"/>
      <c r="Q44" s="378"/>
      <c r="R44" s="378"/>
      <c r="S44" s="378"/>
      <c r="T44" s="378"/>
      <c r="U44" s="378"/>
      <c r="V44" s="378"/>
      <c r="W44" s="378"/>
      <c r="X44" s="378"/>
      <c r="Y44" s="203"/>
      <c r="Z44" s="202" t="s">
        <v>261</v>
      </c>
      <c r="AA44" s="202"/>
    </row>
    <row r="45" spans="1:34" ht="15.95" customHeight="1">
      <c r="A45" s="157"/>
      <c r="B45" s="172"/>
      <c r="D45" s="156"/>
      <c r="E45" s="156"/>
      <c r="F45" s="156"/>
      <c r="G45" s="156"/>
      <c r="H45" s="156"/>
      <c r="I45" s="156"/>
      <c r="J45" s="156"/>
      <c r="K45" s="156"/>
      <c r="L45" s="159"/>
      <c r="M45" s="156"/>
      <c r="N45" t="s">
        <v>261</v>
      </c>
      <c r="O45" s="205"/>
      <c r="P45" s="204"/>
      <c r="Y45" s="203"/>
      <c r="Z45" s="202" t="s">
        <v>261</v>
      </c>
      <c r="AA45" s="202"/>
    </row>
    <row r="46" spans="1:34" ht="15.95" customHeight="1">
      <c r="A46" s="157"/>
      <c r="B46" s="172" t="s">
        <v>389</v>
      </c>
      <c r="C46" s="156" t="s">
        <v>532</v>
      </c>
      <c r="D46" s="156"/>
      <c r="E46" s="156"/>
      <c r="F46" s="156"/>
      <c r="G46" s="156"/>
      <c r="H46" s="156"/>
      <c r="I46" s="156"/>
      <c r="J46" s="156"/>
      <c r="K46" s="156"/>
      <c r="L46" s="159"/>
      <c r="M46" s="156"/>
      <c r="N46" t="s">
        <v>261</v>
      </c>
      <c r="O46" s="205"/>
      <c r="P46" s="204"/>
      <c r="Q46" s="202" t="s">
        <v>520</v>
      </c>
      <c r="R46" s="202"/>
      <c r="S46" s="202"/>
      <c r="T46" s="202"/>
      <c r="U46" s="202"/>
      <c r="V46" s="202"/>
      <c r="W46" s="202"/>
      <c r="X46" s="202"/>
      <c r="Y46" s="203"/>
      <c r="Z46" s="202" t="s">
        <v>261</v>
      </c>
      <c r="AA46" s="202"/>
    </row>
    <row r="47" spans="1:34" ht="15.95" customHeight="1">
      <c r="A47" s="157"/>
      <c r="B47" s="172" t="s">
        <v>515</v>
      </c>
      <c r="C47" s="156" t="s">
        <v>533</v>
      </c>
      <c r="D47" s="156"/>
      <c r="E47" s="156"/>
      <c r="F47" s="156"/>
      <c r="G47" s="156"/>
      <c r="H47" s="156"/>
      <c r="I47" s="156"/>
      <c r="J47" s="156"/>
      <c r="K47" s="156"/>
      <c r="L47" s="159"/>
      <c r="M47" s="156"/>
      <c r="N47" t="s">
        <v>261</v>
      </c>
      <c r="O47" s="205"/>
      <c r="P47" s="204"/>
      <c r="Q47" s="202"/>
      <c r="R47" s="202"/>
      <c r="S47" s="202"/>
      <c r="T47" s="202"/>
      <c r="U47" s="202"/>
      <c r="V47" s="202"/>
      <c r="W47" s="202"/>
      <c r="X47" s="202"/>
      <c r="Y47" s="203"/>
      <c r="Z47" s="202" t="s">
        <v>261</v>
      </c>
      <c r="AA47" s="202"/>
    </row>
    <row r="48" spans="1:34" ht="15.95" customHeight="1">
      <c r="A48" s="157"/>
      <c r="B48" s="172"/>
      <c r="C48" s="156" t="s">
        <v>534</v>
      </c>
      <c r="D48" s="156"/>
      <c r="E48" s="156"/>
      <c r="F48" s="156"/>
      <c r="G48" s="156"/>
      <c r="H48" s="156"/>
      <c r="I48" s="156"/>
      <c r="J48" s="156"/>
      <c r="K48" s="156"/>
      <c r="L48" s="159"/>
      <c r="M48" s="156"/>
      <c r="N48" t="s">
        <v>261</v>
      </c>
      <c r="O48" s="205"/>
      <c r="P48" s="204"/>
      <c r="Q48" s="202"/>
      <c r="R48" s="202"/>
      <c r="S48" s="202"/>
      <c r="T48" s="202"/>
      <c r="U48" s="202"/>
      <c r="V48" s="202"/>
      <c r="W48" s="202"/>
      <c r="X48" s="202"/>
      <c r="Y48" s="203"/>
      <c r="Z48" s="202" t="s">
        <v>261</v>
      </c>
      <c r="AA48" s="202"/>
    </row>
    <row r="49" spans="1:27" ht="15.95" customHeight="1">
      <c r="A49" s="157"/>
      <c r="B49" s="172"/>
      <c r="C49" s="156"/>
      <c r="D49" s="156"/>
      <c r="E49" s="156"/>
      <c r="F49" s="156"/>
      <c r="G49" s="156"/>
      <c r="H49" s="156"/>
      <c r="I49" s="156"/>
      <c r="J49" s="156"/>
      <c r="K49" s="156"/>
      <c r="L49" s="159"/>
      <c r="M49" s="156"/>
      <c r="N49" t="s">
        <v>261</v>
      </c>
      <c r="O49" s="205"/>
      <c r="P49" s="204"/>
      <c r="Y49" s="203"/>
      <c r="AA49" s="202"/>
    </row>
    <row r="50" spans="1:27" ht="15.95" customHeight="1">
      <c r="A50" s="157"/>
      <c r="B50" s="172"/>
      <c r="C50" s="156"/>
      <c r="D50" s="156"/>
      <c r="E50" s="156"/>
      <c r="F50" s="156"/>
      <c r="G50" s="156"/>
      <c r="H50" s="156"/>
      <c r="I50" s="156"/>
      <c r="J50" s="156"/>
      <c r="K50" s="156"/>
      <c r="L50" s="159"/>
      <c r="M50" s="156"/>
      <c r="N50" t="s">
        <v>261</v>
      </c>
      <c r="O50" s="205"/>
      <c r="P50" s="204"/>
      <c r="Q50" s="174" t="s">
        <v>363</v>
      </c>
      <c r="R50" s="202"/>
      <c r="S50" s="202"/>
      <c r="T50" s="202"/>
      <c r="U50" s="202"/>
      <c r="V50" s="202"/>
      <c r="W50" s="202"/>
      <c r="X50" s="202"/>
      <c r="Y50" s="203"/>
      <c r="Z50" s="202" t="s">
        <v>261</v>
      </c>
      <c r="AA50" s="202"/>
    </row>
    <row r="51" spans="1:27" ht="15.95" customHeight="1">
      <c r="A51" s="157"/>
      <c r="B51" s="172"/>
      <c r="C51" s="156"/>
      <c r="D51" s="156"/>
      <c r="E51" s="156"/>
      <c r="F51" s="156"/>
      <c r="G51" s="156"/>
      <c r="H51" s="156"/>
      <c r="I51" s="156"/>
      <c r="J51" s="156"/>
      <c r="K51" s="156"/>
      <c r="L51" s="159"/>
      <c r="M51" s="156"/>
      <c r="N51" t="s">
        <v>261</v>
      </c>
      <c r="O51" s="205"/>
      <c r="P51" s="204"/>
      <c r="Q51" s="202" t="s">
        <v>0</v>
      </c>
      <c r="R51" s="202"/>
      <c r="S51" s="202"/>
      <c r="T51" s="202"/>
      <c r="U51" s="202"/>
      <c r="V51" s="208" t="str">
        <f ca="1">+"Bad Wiessee, "&amp;$W$7</f>
        <v>Bad Wiessee, 16. Feb. 2026</v>
      </c>
      <c r="W51" s="202"/>
      <c r="X51" s="202"/>
      <c r="Y51" s="203"/>
      <c r="Z51" s="202" t="s">
        <v>261</v>
      </c>
      <c r="AA51" s="202"/>
    </row>
    <row r="52" spans="1:27" ht="15.95" customHeight="1">
      <c r="A52" s="157"/>
      <c r="B52" s="172"/>
      <c r="C52" s="156" t="s">
        <v>363</v>
      </c>
      <c r="D52" s="156"/>
      <c r="E52" s="156"/>
      <c r="F52" s="156"/>
      <c r="G52" s="156"/>
      <c r="H52" s="156"/>
      <c r="I52" s="156"/>
      <c r="J52" s="156"/>
      <c r="K52" s="156"/>
      <c r="L52" s="159"/>
      <c r="M52" s="156"/>
      <c r="N52" t="s">
        <v>261</v>
      </c>
      <c r="O52" s="205"/>
      <c r="P52" s="204"/>
      <c r="Q52" s="202"/>
      <c r="R52" s="202"/>
      <c r="S52" s="202"/>
      <c r="T52" s="202"/>
      <c r="U52" s="202"/>
      <c r="V52" s="202"/>
      <c r="W52" s="202"/>
      <c r="X52" s="202"/>
      <c r="Y52" s="203"/>
      <c r="Z52" s="202" t="s">
        <v>261</v>
      </c>
      <c r="AA52" s="202"/>
    </row>
    <row r="53" spans="1:27" ht="15.95" customHeight="1">
      <c r="A53" s="157"/>
      <c r="B53" s="172"/>
      <c r="C53" t="str">
        <f ca="1">+W7</f>
        <v>16. Feb. 2026</v>
      </c>
      <c r="D53" s="156"/>
      <c r="E53" s="156"/>
      <c r="F53" s="156"/>
      <c r="G53" s="156"/>
      <c r="H53" s="156"/>
      <c r="I53" s="156"/>
      <c r="J53" s="156"/>
      <c r="K53" s="156"/>
      <c r="L53" s="159"/>
      <c r="M53" s="156"/>
      <c r="N53" t="s">
        <v>261</v>
      </c>
      <c r="O53" s="205"/>
      <c r="P53" s="204"/>
      <c r="Y53" s="203"/>
      <c r="Z53" s="202" t="s">
        <v>261</v>
      </c>
      <c r="AA53" s="202"/>
    </row>
    <row r="54" spans="1:27" ht="15.95" customHeight="1">
      <c r="A54" s="157"/>
      <c r="B54" s="173"/>
      <c r="L54" s="159"/>
      <c r="N54" t="s">
        <v>261</v>
      </c>
      <c r="O54" s="205"/>
      <c r="P54" s="204"/>
      <c r="Y54" s="203"/>
      <c r="Z54" s="202" t="s">
        <v>261</v>
      </c>
      <c r="AA54" s="202"/>
    </row>
  </sheetData>
  <sheetProtection selectLockedCells="1" selectUnlockedCells="1"/>
  <mergeCells count="2">
    <mergeCell ref="AA17:AH42"/>
    <mergeCell ref="Q17:X44"/>
  </mergeCells>
  <hyperlinks>
    <hyperlink ref="C5" r:id="rId1" display="+4917646774278" xr:uid="{820201D4-F8FF-4200-B4AB-88F1755D6A97}"/>
    <hyperlink ref="C6" r:id="rId2" xr:uid="{63772E4C-7140-41E5-8752-1D16BDB8A325}"/>
    <hyperlink ref="D30" r:id="rId3" xr:uid="{F8A3A3A4-8525-4AFE-AC98-F945F91B814C}"/>
    <hyperlink ref="D33" r:id="rId4" xr:uid="{71DB1335-849C-4264-AF58-4AB1CF301D92}"/>
    <hyperlink ref="C37" r:id="rId5" xr:uid="{FE178208-AA59-45CB-B8A6-9738DEF552E2}"/>
    <hyperlink ref="C43" r:id="rId6" xr:uid="{06BF248A-1AD2-4C2C-97A9-DF6DD2BDC4FE}"/>
    <hyperlink ref="C44" r:id="rId7" xr:uid="{71FBFBC8-492A-4B7B-A13E-6FBFAC145187}"/>
    <hyperlink ref="C18" r:id="rId8" xr:uid="{087BF08D-5D71-4285-95B2-9785B1C89129}"/>
    <hyperlink ref="C19" r:id="rId9" xr:uid="{51A8F6C5-0519-48EA-81B0-3ADB51CE2E4E}"/>
    <hyperlink ref="C20" r:id="rId10" xr:uid="{7D312498-BCE6-4CEF-98BF-C6B687985B53}"/>
    <hyperlink ref="C21" r:id="rId11" xr:uid="{CBE5AF15-AEDA-4C81-92CC-734C0AF8E89C}"/>
    <hyperlink ref="C22" r:id="rId12" xr:uid="{8C12C0B9-F096-4AD6-8329-DB059ABBF4E3}"/>
    <hyperlink ref="C23" r:id="rId13" xr:uid="{7BEAD370-BA3A-41B8-B289-4E102542BD72}"/>
    <hyperlink ref="C24" r:id="rId14" xr:uid="{82BDC9CC-BC7D-4F82-9BBA-8B0CEC3C7DD9}"/>
    <hyperlink ref="C25" r:id="rId15" xr:uid="{DE754AFF-52B8-4C75-8C64-619715BCDABA}"/>
    <hyperlink ref="C26" r:id="rId16" xr:uid="{77299B32-53B1-4B0A-93A2-3BE546CF746B}"/>
    <hyperlink ref="C27" r:id="rId17" xr:uid="{7EE72103-DB3B-432B-A646-DAEBF055FCC8}"/>
  </hyperlinks>
  <printOptions horizontalCentered="1" verticalCentered="1"/>
  <pageMargins left="0" right="0" top="0" bottom="0" header="0" footer="0"/>
  <pageSetup paperSize="9" orientation="portrait" r:id="rId18"/>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From Word</vt:lpstr>
      <vt:lpstr>06.22</vt:lpstr>
      <vt:lpstr>07.22</vt:lpstr>
      <vt:lpstr>10.22</vt:lpstr>
      <vt:lpstr>11.22</vt:lpstr>
      <vt:lpstr>05.23</vt:lpstr>
      <vt:lpstr>07.23</vt:lpstr>
      <vt:lpstr>11.23</vt:lpstr>
      <vt:lpstr>12.23</vt:lpstr>
      <vt:lpstr>03.24</vt:lpstr>
      <vt:lpstr>04.24</vt:lpstr>
      <vt:lpstr>07.24</vt:lpstr>
      <vt:lpstr>04.25</vt:lpstr>
      <vt:lpstr>'03.24'!Print_Area</vt:lpstr>
      <vt:lpstr>'04.24'!Print_Area</vt:lpstr>
      <vt:lpstr>'04.25'!Print_Area</vt:lpstr>
      <vt:lpstr>'05.23'!Print_Area</vt:lpstr>
      <vt:lpstr>'06.22'!Print_Area</vt:lpstr>
      <vt:lpstr>'07.22'!Print_Area</vt:lpstr>
      <vt:lpstr>'07.23'!Print_Area</vt:lpstr>
      <vt:lpstr>'07.24'!Print_Area</vt:lpstr>
      <vt:lpstr>'10.22'!Print_Area</vt:lpstr>
      <vt:lpstr>'11.22'!Print_Area</vt:lpstr>
      <vt:lpstr>'11.23'!Print_Area</vt:lpstr>
      <vt:lpstr>'12.23'!Print_Area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CV</dc:title>
  <dc:subject/>
  <dc:creator>Victor Wright</dc:creator>
  <cp:keywords/>
  <dc:description/>
  <cp:lastModifiedBy>Victor Wright</cp:lastModifiedBy>
  <cp:revision/>
  <cp:lastPrinted>2025-09-24T08:38:01Z</cp:lastPrinted>
  <dcterms:created xsi:type="dcterms:W3CDTF">2015-06-05T18:19:34Z</dcterms:created>
  <dcterms:modified xsi:type="dcterms:W3CDTF">2026-02-16T14:12:04Z</dcterms:modified>
  <cp:category/>
  <cp:contentStatus/>
</cp:coreProperties>
</file>